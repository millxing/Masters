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obschoen/Dropbox/golff/Masters2025/other/"/>
    </mc:Choice>
  </mc:AlternateContent>
  <xr:revisionPtr revIDLastSave="0" documentId="8_{6ABFC484-3D18-FC42-9AF4-5D7CFB47E6FD}" xr6:coauthVersionLast="47" xr6:coauthVersionMax="47" xr10:uidLastSave="{00000000-0000-0000-0000-000000000000}"/>
  <bookViews>
    <workbookView xWindow="0" yWindow="760" windowWidth="34560" windowHeight="21580" activeTab="4" xr2:uid="{190C6C04-6CEC-424D-9838-3D29380A9514}"/>
  </bookViews>
  <sheets>
    <sheet name="Rosters (FINAL)" sheetId="2" r:id="rId1"/>
    <sheet name="Round 1 Scores" sheetId="4" r:id="rId2"/>
    <sheet name="Round 2 Scores" sheetId="5" r:id="rId3"/>
    <sheet name="Round 3 Scores" sheetId="6" r:id="rId4"/>
    <sheet name="Round 4 Scores" sheetId="7" r:id="rId5"/>
    <sheet name="scoring" sheetId="3" r:id="rId6"/>
    <sheet name="work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8" l="1"/>
  <c r="P105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W3" i="8" a="1"/>
  <c r="W3" i="8" s="1"/>
  <c r="W2" i="8" a="1"/>
  <c r="W2" i="8" s="1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AC47" i="8"/>
  <c r="AC46" i="8"/>
  <c r="AC45" i="8"/>
  <c r="AC44" i="8"/>
  <c r="AC43" i="8"/>
  <c r="AB47" i="8"/>
  <c r="AB46" i="8"/>
  <c r="AB45" i="8"/>
  <c r="AB44" i="8"/>
  <c r="AB43" i="8"/>
  <c r="AA40" i="8" a="1"/>
  <c r="AA40" i="8" s="1"/>
  <c r="AA39" i="8" a="1"/>
  <c r="AA39" i="8" s="1"/>
  <c r="AA38" i="8" a="1"/>
  <c r="AA38" i="8" s="1"/>
  <c r="AA37" i="8" a="1"/>
  <c r="AA37" i="8" s="1"/>
  <c r="AA36" i="8" a="1"/>
  <c r="AA36" i="8" s="1"/>
  <c r="AA35" i="8" a="1"/>
  <c r="AA35" i="8" s="1"/>
  <c r="AA34" i="8" a="1"/>
  <c r="AA34" i="8" s="1"/>
  <c r="AA33" i="8" a="1"/>
  <c r="AA33" i="8" s="1"/>
  <c r="AA32" i="8" a="1"/>
  <c r="AA32" i="8" s="1"/>
  <c r="AA31" i="8" a="1"/>
  <c r="AA31" i="8" s="1"/>
  <c r="AA30" i="8" a="1"/>
  <c r="AA30" i="8" s="1"/>
  <c r="AA29" i="8" a="1"/>
  <c r="AA29" i="8" s="1"/>
  <c r="AA28" i="8" a="1"/>
  <c r="AA28" i="8" s="1"/>
  <c r="AA27" i="8" a="1"/>
  <c r="AA27" i="8" s="1"/>
  <c r="AA26" i="8" a="1"/>
  <c r="AA26" i="8" s="1"/>
  <c r="AA25" i="8" a="1"/>
  <c r="AA25" i="8" s="1"/>
  <c r="AA24" i="8" a="1"/>
  <c r="AA24" i="8" s="1"/>
  <c r="AA23" i="8" a="1"/>
  <c r="AA23" i="8" s="1"/>
  <c r="AA22" i="8" a="1"/>
  <c r="AA22" i="8" s="1"/>
  <c r="AA21" i="8" a="1"/>
  <c r="AA21" i="8" s="1"/>
  <c r="AA20" i="8" a="1"/>
  <c r="AA20" i="8" s="1"/>
  <c r="AA19" i="8" a="1"/>
  <c r="AA19" i="8" s="1"/>
  <c r="AA18" i="8" a="1"/>
  <c r="AA18" i="8" s="1"/>
  <c r="AA17" i="8" a="1"/>
  <c r="AA17" i="8" s="1"/>
  <c r="AA16" i="8" a="1"/>
  <c r="AA16" i="8" s="1"/>
  <c r="AA15" i="8" a="1"/>
  <c r="AA15" i="8" s="1"/>
  <c r="AA14" i="8" a="1"/>
  <c r="AA14" i="8" s="1"/>
  <c r="AA13" i="8" a="1"/>
  <c r="AA13" i="8" s="1"/>
  <c r="AA12" i="8" a="1"/>
  <c r="AA12" i="8" s="1"/>
  <c r="AA11" i="8" a="1"/>
  <c r="AA11" i="8" s="1"/>
  <c r="AA10" i="8" a="1"/>
  <c r="AA10" i="8" s="1"/>
  <c r="AA9" i="8" a="1"/>
  <c r="AA9" i="8" s="1"/>
  <c r="AA8" i="8" a="1"/>
  <c r="AA8" i="8" s="1"/>
  <c r="AA7" i="8" a="1"/>
  <c r="AA7" i="8" s="1"/>
  <c r="AA6" i="8" a="1"/>
  <c r="AA6" i="8" s="1"/>
  <c r="AA5" i="8" a="1"/>
  <c r="AA5" i="8" s="1"/>
  <c r="AA4" i="8" a="1"/>
  <c r="AA4" i="8" s="1"/>
  <c r="AA3" i="8" a="1"/>
  <c r="AA3" i="8" s="1"/>
  <c r="AA2" i="8" a="1"/>
  <c r="AA2" i="8" s="1"/>
  <c r="U40" i="8"/>
  <c r="T40" i="8"/>
  <c r="S40" i="8"/>
  <c r="R40" i="8"/>
  <c r="Q40" i="8"/>
  <c r="P40" i="8"/>
  <c r="O40" i="8"/>
  <c r="N40" i="8"/>
  <c r="U39" i="8"/>
  <c r="T39" i="8"/>
  <c r="S39" i="8"/>
  <c r="R39" i="8"/>
  <c r="Q39" i="8"/>
  <c r="P39" i="8"/>
  <c r="O39" i="8"/>
  <c r="N39" i="8"/>
  <c r="U38" i="8"/>
  <c r="T38" i="8"/>
  <c r="S38" i="8"/>
  <c r="R38" i="8"/>
  <c r="Q38" i="8"/>
  <c r="P38" i="8"/>
  <c r="O38" i="8"/>
  <c r="N38" i="8"/>
  <c r="U37" i="8"/>
  <c r="T37" i="8"/>
  <c r="S37" i="8"/>
  <c r="R37" i="8"/>
  <c r="Q37" i="8"/>
  <c r="P37" i="8"/>
  <c r="O37" i="8"/>
  <c r="N37" i="8"/>
  <c r="U36" i="8"/>
  <c r="T36" i="8"/>
  <c r="S36" i="8"/>
  <c r="R36" i="8"/>
  <c r="Q36" i="8"/>
  <c r="P36" i="8"/>
  <c r="O36" i="8"/>
  <c r="N36" i="8"/>
  <c r="U35" i="8"/>
  <c r="T35" i="8"/>
  <c r="S35" i="8"/>
  <c r="R35" i="8"/>
  <c r="Q35" i="8"/>
  <c r="P35" i="8"/>
  <c r="O35" i="8"/>
  <c r="N35" i="8"/>
  <c r="U34" i="8"/>
  <c r="T34" i="8"/>
  <c r="S34" i="8"/>
  <c r="R34" i="8"/>
  <c r="Q34" i="8"/>
  <c r="P34" i="8"/>
  <c r="O34" i="8"/>
  <c r="N34" i="8"/>
  <c r="U33" i="8"/>
  <c r="T33" i="8"/>
  <c r="S33" i="8"/>
  <c r="R33" i="8"/>
  <c r="Q33" i="8"/>
  <c r="P33" i="8"/>
  <c r="O33" i="8"/>
  <c r="N33" i="8"/>
  <c r="Y33" i="8" s="1"/>
  <c r="U32" i="8"/>
  <c r="T32" i="8"/>
  <c r="S32" i="8"/>
  <c r="R32" i="8"/>
  <c r="Q32" i="8"/>
  <c r="P32" i="8"/>
  <c r="O32" i="8"/>
  <c r="N32" i="8"/>
  <c r="Y32" i="8" s="1"/>
  <c r="U31" i="8"/>
  <c r="T31" i="8"/>
  <c r="S31" i="8"/>
  <c r="R31" i="8"/>
  <c r="Q31" i="8"/>
  <c r="P31" i="8"/>
  <c r="O31" i="8"/>
  <c r="N31" i="8"/>
  <c r="U30" i="8"/>
  <c r="T30" i="8"/>
  <c r="S30" i="8"/>
  <c r="R30" i="8"/>
  <c r="Q30" i="8"/>
  <c r="P30" i="8"/>
  <c r="O30" i="8"/>
  <c r="N30" i="8"/>
  <c r="Y30" i="8" s="1"/>
  <c r="U29" i="8"/>
  <c r="T29" i="8"/>
  <c r="S29" i="8"/>
  <c r="R29" i="8"/>
  <c r="Q29" i="8"/>
  <c r="P29" i="8"/>
  <c r="O29" i="8"/>
  <c r="N29" i="8"/>
  <c r="U28" i="8"/>
  <c r="T28" i="8"/>
  <c r="S28" i="8"/>
  <c r="R28" i="8"/>
  <c r="Q28" i="8"/>
  <c r="P28" i="8"/>
  <c r="O28" i="8"/>
  <c r="N28" i="8"/>
  <c r="Y28" i="8" s="1"/>
  <c r="U27" i="8"/>
  <c r="T27" i="8"/>
  <c r="S27" i="8"/>
  <c r="R27" i="8"/>
  <c r="Q27" i="8"/>
  <c r="P27" i="8"/>
  <c r="O27" i="8"/>
  <c r="N27" i="8"/>
  <c r="U26" i="8"/>
  <c r="T26" i="8"/>
  <c r="S26" i="8"/>
  <c r="R26" i="8"/>
  <c r="Q26" i="8"/>
  <c r="P26" i="8"/>
  <c r="O26" i="8"/>
  <c r="N26" i="8"/>
  <c r="Y26" i="8" s="1"/>
  <c r="U25" i="8"/>
  <c r="T25" i="8"/>
  <c r="S25" i="8"/>
  <c r="R25" i="8"/>
  <c r="Q25" i="8"/>
  <c r="P25" i="8"/>
  <c r="O25" i="8"/>
  <c r="N25" i="8"/>
  <c r="U24" i="8"/>
  <c r="T24" i="8"/>
  <c r="S24" i="8"/>
  <c r="R24" i="8"/>
  <c r="Q24" i="8"/>
  <c r="P24" i="8"/>
  <c r="O24" i="8"/>
  <c r="N24" i="8"/>
  <c r="U23" i="8"/>
  <c r="T23" i="8"/>
  <c r="S23" i="8"/>
  <c r="R23" i="8"/>
  <c r="Q23" i="8"/>
  <c r="P23" i="8"/>
  <c r="O23" i="8"/>
  <c r="N23" i="8"/>
  <c r="U22" i="8"/>
  <c r="T22" i="8"/>
  <c r="S22" i="8"/>
  <c r="R22" i="8"/>
  <c r="Q22" i="8"/>
  <c r="P22" i="8"/>
  <c r="O22" i="8"/>
  <c r="N22" i="8"/>
  <c r="U21" i="8"/>
  <c r="T21" i="8"/>
  <c r="S21" i="8"/>
  <c r="R21" i="8"/>
  <c r="Q21" i="8"/>
  <c r="P21" i="8"/>
  <c r="O21" i="8"/>
  <c r="N21" i="8"/>
  <c r="U20" i="8"/>
  <c r="T20" i="8"/>
  <c r="S20" i="8"/>
  <c r="R20" i="8"/>
  <c r="Q20" i="8"/>
  <c r="P20" i="8"/>
  <c r="O20" i="8"/>
  <c r="N20" i="8"/>
  <c r="U19" i="8"/>
  <c r="T19" i="8"/>
  <c r="S19" i="8"/>
  <c r="R19" i="8"/>
  <c r="Q19" i="8"/>
  <c r="P19" i="8"/>
  <c r="O19" i="8"/>
  <c r="N19" i="8"/>
  <c r="U18" i="8"/>
  <c r="T18" i="8"/>
  <c r="S18" i="8"/>
  <c r="R18" i="8"/>
  <c r="Q18" i="8"/>
  <c r="P18" i="8"/>
  <c r="O18" i="8"/>
  <c r="N18" i="8"/>
  <c r="U17" i="8"/>
  <c r="T17" i="8"/>
  <c r="S17" i="8"/>
  <c r="R17" i="8"/>
  <c r="Q17" i="8"/>
  <c r="P17" i="8"/>
  <c r="O17" i="8"/>
  <c r="N17" i="8"/>
  <c r="Y17" i="8" s="1"/>
  <c r="U16" i="8"/>
  <c r="T16" i="8"/>
  <c r="S16" i="8"/>
  <c r="R16" i="8"/>
  <c r="Q16" i="8"/>
  <c r="P16" i="8"/>
  <c r="O16" i="8"/>
  <c r="N16" i="8"/>
  <c r="U15" i="8"/>
  <c r="T15" i="8"/>
  <c r="S15" i="8"/>
  <c r="R15" i="8"/>
  <c r="Q15" i="8"/>
  <c r="P15" i="8"/>
  <c r="O15" i="8"/>
  <c r="N15" i="8"/>
  <c r="U14" i="8"/>
  <c r="T14" i="8"/>
  <c r="S14" i="8"/>
  <c r="R14" i="8"/>
  <c r="Q14" i="8"/>
  <c r="P14" i="8"/>
  <c r="O14" i="8"/>
  <c r="N14" i="8"/>
  <c r="Y14" i="8" s="1"/>
  <c r="U13" i="8"/>
  <c r="T13" i="8"/>
  <c r="S13" i="8"/>
  <c r="R13" i="8"/>
  <c r="Q13" i="8"/>
  <c r="P13" i="8"/>
  <c r="O13" i="8"/>
  <c r="N13" i="8"/>
  <c r="U12" i="8"/>
  <c r="T12" i="8"/>
  <c r="S12" i="8"/>
  <c r="R12" i="8"/>
  <c r="Q12" i="8"/>
  <c r="P12" i="8"/>
  <c r="O12" i="8"/>
  <c r="N12" i="8"/>
  <c r="Y12" i="8" s="1"/>
  <c r="U11" i="8"/>
  <c r="T11" i="8"/>
  <c r="S11" i="8"/>
  <c r="R11" i="8"/>
  <c r="Q11" i="8"/>
  <c r="P11" i="8"/>
  <c r="O11" i="8"/>
  <c r="N11" i="8"/>
  <c r="U10" i="8"/>
  <c r="T10" i="8"/>
  <c r="S10" i="8"/>
  <c r="R10" i="8"/>
  <c r="Q10" i="8"/>
  <c r="P10" i="8"/>
  <c r="O10" i="8"/>
  <c r="N10" i="8"/>
  <c r="Y10" i="8" s="1"/>
  <c r="U9" i="8"/>
  <c r="T9" i="8"/>
  <c r="S9" i="8"/>
  <c r="R9" i="8"/>
  <c r="Q9" i="8"/>
  <c r="P9" i="8"/>
  <c r="O9" i="8"/>
  <c r="N9" i="8"/>
  <c r="U8" i="8"/>
  <c r="T8" i="8"/>
  <c r="S8" i="8"/>
  <c r="R8" i="8"/>
  <c r="Q8" i="8"/>
  <c r="P8" i="8"/>
  <c r="O8" i="8"/>
  <c r="N8" i="8"/>
  <c r="U7" i="8"/>
  <c r="T7" i="8"/>
  <c r="S7" i="8"/>
  <c r="R7" i="8"/>
  <c r="Q7" i="8"/>
  <c r="P7" i="8"/>
  <c r="O7" i="8"/>
  <c r="N7" i="8"/>
  <c r="U6" i="8"/>
  <c r="T6" i="8"/>
  <c r="S6" i="8"/>
  <c r="R6" i="8"/>
  <c r="Q6" i="8"/>
  <c r="P6" i="8"/>
  <c r="O6" i="8"/>
  <c r="N6" i="8"/>
  <c r="U5" i="8"/>
  <c r="T5" i="8"/>
  <c r="S5" i="8"/>
  <c r="R5" i="8"/>
  <c r="Q5" i="8"/>
  <c r="P5" i="8"/>
  <c r="O5" i="8"/>
  <c r="N5" i="8"/>
  <c r="U4" i="8"/>
  <c r="T4" i="8"/>
  <c r="S4" i="8"/>
  <c r="R4" i="8"/>
  <c r="Q4" i="8"/>
  <c r="P4" i="8"/>
  <c r="O4" i="8"/>
  <c r="N4" i="8"/>
  <c r="U3" i="8"/>
  <c r="T3" i="8"/>
  <c r="S3" i="8"/>
  <c r="R3" i="8"/>
  <c r="Q3" i="8"/>
  <c r="P3" i="8"/>
  <c r="O3" i="8"/>
  <c r="N3" i="8"/>
  <c r="U2" i="8"/>
  <c r="T2" i="8"/>
  <c r="S2" i="8"/>
  <c r="R2" i="8"/>
  <c r="Q2" i="8"/>
  <c r="P2" i="8"/>
  <c r="O2" i="8"/>
  <c r="N2" i="8"/>
  <c r="Y8" i="8" l="1"/>
  <c r="Y18" i="8"/>
  <c r="Y34" i="8"/>
  <c r="Y40" i="8"/>
  <c r="Y5" i="8"/>
  <c r="Y9" i="8"/>
  <c r="Y13" i="8"/>
  <c r="Y21" i="8"/>
  <c r="Y23" i="8"/>
  <c r="Y29" i="8"/>
  <c r="Y31" i="8"/>
  <c r="Y35" i="8"/>
  <c r="Y37" i="8"/>
  <c r="Y39" i="8"/>
  <c r="Y6" i="8"/>
  <c r="Y43" i="8" s="1"/>
  <c r="Y24" i="8"/>
  <c r="Y15" i="8"/>
  <c r="Y27" i="8"/>
  <c r="Y2" i="8"/>
  <c r="Y46" i="8" s="1"/>
  <c r="Y20" i="8"/>
  <c r="Y38" i="8"/>
  <c r="Y7" i="8"/>
  <c r="Y11" i="8"/>
  <c r="Y25" i="8"/>
  <c r="Y4" i="8"/>
  <c r="Y16" i="8"/>
  <c r="Y22" i="8"/>
  <c r="Y36" i="8"/>
  <c r="Y3" i="8"/>
  <c r="Y45" i="8" s="1"/>
  <c r="Y19" i="8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AA89" i="3"/>
  <c r="AA86" i="3"/>
  <c r="P62" i="7" s="1"/>
  <c r="AA55" i="3"/>
  <c r="AA101" i="3"/>
  <c r="AA63" i="3"/>
  <c r="AA73" i="3"/>
  <c r="AA20" i="3"/>
  <c r="AA53" i="3"/>
  <c r="AA54" i="3"/>
  <c r="T65" i="7" s="1"/>
  <c r="AA37" i="3"/>
  <c r="AA99" i="3"/>
  <c r="AA39" i="3"/>
  <c r="N69" i="7" s="1"/>
  <c r="AA88" i="3"/>
  <c r="AA38" i="3"/>
  <c r="Z104" i="3"/>
  <c r="H17" i="7" s="1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P6" i="7" s="1"/>
  <c r="Z90" i="3"/>
  <c r="Z89" i="3"/>
  <c r="Z88" i="3"/>
  <c r="Z87" i="3"/>
  <c r="R5" i="7" s="1"/>
  <c r="Z86" i="3"/>
  <c r="P31" i="7" s="1"/>
  <c r="Z85" i="3"/>
  <c r="T26" i="7" s="1"/>
  <c r="Z84" i="3"/>
  <c r="Z83" i="3"/>
  <c r="Z81" i="3"/>
  <c r="Z80" i="3"/>
  <c r="J20" i="7" s="1"/>
  <c r="Z79" i="3"/>
  <c r="Z78" i="3"/>
  <c r="Z77" i="3"/>
  <c r="T18" i="7" s="1"/>
  <c r="Z76" i="3"/>
  <c r="Z75" i="3"/>
  <c r="Z74" i="3"/>
  <c r="Z73" i="3"/>
  <c r="Z72" i="3"/>
  <c r="Z71" i="3"/>
  <c r="P34" i="7" s="1"/>
  <c r="Z70" i="3"/>
  <c r="R18" i="7" s="1"/>
  <c r="Z69" i="3"/>
  <c r="N29" i="7" s="1"/>
  <c r="Z68" i="3"/>
  <c r="T7" i="7" s="1"/>
  <c r="Z67" i="3"/>
  <c r="T4" i="7" s="1"/>
  <c r="Z66" i="3"/>
  <c r="Z65" i="3"/>
  <c r="Z64" i="3"/>
  <c r="R4" i="7" s="1"/>
  <c r="Z63" i="3"/>
  <c r="T12" i="7" s="1"/>
  <c r="Z62" i="3"/>
  <c r="Z61" i="3"/>
  <c r="Z60" i="3"/>
  <c r="T8" i="7" s="1"/>
  <c r="Z59" i="3"/>
  <c r="N18" i="7" s="1"/>
  <c r="Z58" i="3"/>
  <c r="Z57" i="3"/>
  <c r="Z56" i="3"/>
  <c r="P24" i="7" s="1"/>
  <c r="Z55" i="3"/>
  <c r="Z54" i="3"/>
  <c r="R22" i="7" s="1"/>
  <c r="Z53" i="3"/>
  <c r="R7" i="7" s="1"/>
  <c r="Z52" i="3"/>
  <c r="Z51" i="3"/>
  <c r="Z50" i="3"/>
  <c r="R13" i="7" s="1"/>
  <c r="Z49" i="3"/>
  <c r="L40" i="7" s="1"/>
  <c r="Z48" i="3"/>
  <c r="Z47" i="3"/>
  <c r="F21" i="7" s="1"/>
  <c r="Z46" i="3"/>
  <c r="J23" i="7" s="1"/>
  <c r="Z45" i="3"/>
  <c r="Z44" i="3"/>
  <c r="J5" i="7" s="1"/>
  <c r="Z43" i="3"/>
  <c r="Z42" i="3"/>
  <c r="P22" i="7" s="1"/>
  <c r="Z41" i="3"/>
  <c r="R15" i="7" s="1"/>
  <c r="Z40" i="3"/>
  <c r="L5" i="7" s="1"/>
  <c r="Z39" i="3"/>
  <c r="N12" i="7" s="1"/>
  <c r="Z38" i="3"/>
  <c r="Z37" i="3"/>
  <c r="T24" i="7" s="1"/>
  <c r="Z36" i="3"/>
  <c r="Z35" i="3"/>
  <c r="J15" i="7" s="1"/>
  <c r="Z34" i="3"/>
  <c r="N15" i="7" s="1"/>
  <c r="Z33" i="3"/>
  <c r="T20" i="7" s="1"/>
  <c r="Z32" i="3"/>
  <c r="P19" i="7" s="1"/>
  <c r="Z31" i="3"/>
  <c r="L33" i="7" s="1"/>
  <c r="Z30" i="3"/>
  <c r="R39" i="7" s="1"/>
  <c r="Z29" i="3"/>
  <c r="L26" i="7" s="1"/>
  <c r="Z28" i="3"/>
  <c r="N39" i="7" s="1"/>
  <c r="Z27" i="3"/>
  <c r="L8" i="7" s="1"/>
  <c r="Z26" i="3"/>
  <c r="L20" i="7" s="1"/>
  <c r="Z25" i="3"/>
  <c r="L11" i="7" s="1"/>
  <c r="Z24" i="3"/>
  <c r="N17" i="7" s="1"/>
  <c r="Z23" i="3"/>
  <c r="L35" i="7" s="1"/>
  <c r="Z22" i="3"/>
  <c r="J12" i="7" s="1"/>
  <c r="Z21" i="3"/>
  <c r="L3" i="7" s="1"/>
  <c r="Z20" i="3"/>
  <c r="J6" i="7" s="1"/>
  <c r="Z19" i="3"/>
  <c r="J9" i="7" s="1"/>
  <c r="Z18" i="3"/>
  <c r="F27" i="7" s="1"/>
  <c r="Z17" i="3"/>
  <c r="H22" i="7" s="1"/>
  <c r="Z16" i="3"/>
  <c r="H37" i="7" s="1"/>
  <c r="Z15" i="3"/>
  <c r="F28" i="7" s="1"/>
  <c r="Z14" i="3"/>
  <c r="L27" i="7" s="1"/>
  <c r="Z13" i="3"/>
  <c r="H23" i="7" s="1"/>
  <c r="Z12" i="3"/>
  <c r="F15" i="7" s="1"/>
  <c r="Z11" i="3"/>
  <c r="F23" i="7" s="1"/>
  <c r="Z10" i="3"/>
  <c r="Y10" i="3"/>
  <c r="Z82" i="3"/>
  <c r="P36" i="7" s="1"/>
  <c r="Y104" i="3"/>
  <c r="Y102" i="3"/>
  <c r="Y100" i="3"/>
  <c r="Y98" i="3"/>
  <c r="Y97" i="3"/>
  <c r="Y96" i="3"/>
  <c r="Y95" i="3"/>
  <c r="Y94" i="3"/>
  <c r="Y93" i="3"/>
  <c r="Y92" i="3"/>
  <c r="Y91" i="3"/>
  <c r="P21" i="6" s="1"/>
  <c r="Y90" i="3"/>
  <c r="Y87" i="3"/>
  <c r="Y84" i="3"/>
  <c r="Y83" i="3"/>
  <c r="Y80" i="3"/>
  <c r="Y79" i="3"/>
  <c r="Y78" i="3"/>
  <c r="Y77" i="3"/>
  <c r="Y76" i="3"/>
  <c r="Y75" i="3"/>
  <c r="Y74" i="3"/>
  <c r="Y72" i="3"/>
  <c r="Y71" i="3"/>
  <c r="Y70" i="3"/>
  <c r="Y69" i="3"/>
  <c r="Y67" i="3"/>
  <c r="Y66" i="3"/>
  <c r="Y65" i="3"/>
  <c r="Y64" i="3"/>
  <c r="R4" i="6" s="1"/>
  <c r="Y62" i="3"/>
  <c r="Y61" i="3"/>
  <c r="Y59" i="3"/>
  <c r="Y58" i="3"/>
  <c r="Y57" i="3"/>
  <c r="Y56" i="3"/>
  <c r="Y52" i="3"/>
  <c r="Y51" i="3"/>
  <c r="Y50" i="3"/>
  <c r="Y48" i="3"/>
  <c r="Y47" i="3"/>
  <c r="F33" i="6" s="1"/>
  <c r="Y46" i="3"/>
  <c r="Y45" i="3"/>
  <c r="Y44" i="3"/>
  <c r="Y43" i="3"/>
  <c r="Y42" i="3"/>
  <c r="Y41" i="3"/>
  <c r="Y40" i="3"/>
  <c r="N4" i="6" s="1"/>
  <c r="Y36" i="3"/>
  <c r="Y35" i="3"/>
  <c r="Y34" i="3"/>
  <c r="R27" i="6" s="1"/>
  <c r="Y33" i="3"/>
  <c r="Y32" i="3"/>
  <c r="L34" i="6" s="1"/>
  <c r="Y31" i="3"/>
  <c r="N37" i="6" s="1"/>
  <c r="Y29" i="3"/>
  <c r="Y28" i="3"/>
  <c r="Y27" i="3"/>
  <c r="Y26" i="3"/>
  <c r="Y25" i="3"/>
  <c r="L18" i="6" s="1"/>
  <c r="Y24" i="3"/>
  <c r="Y23" i="3"/>
  <c r="Y22" i="3"/>
  <c r="J18" i="6" s="1"/>
  <c r="Y21" i="3"/>
  <c r="R18" i="6" s="1"/>
  <c r="Y19" i="3"/>
  <c r="H27" i="6" s="1"/>
  <c r="Y18" i="3"/>
  <c r="J10" i="6" s="1"/>
  <c r="Y17" i="3"/>
  <c r="T7" i="6" s="1"/>
  <c r="Y16" i="3"/>
  <c r="L15" i="6" s="1"/>
  <c r="Y15" i="3"/>
  <c r="Y14" i="3"/>
  <c r="H12" i="6" s="1"/>
  <c r="Y13" i="3"/>
  <c r="H37" i="6" s="1"/>
  <c r="Y12" i="3"/>
  <c r="Y11" i="3"/>
  <c r="X10" i="3"/>
  <c r="Y89" i="3"/>
  <c r="Y103" i="3"/>
  <c r="Y68" i="3"/>
  <c r="Y86" i="3"/>
  <c r="Y30" i="3"/>
  <c r="P39" i="6" s="1"/>
  <c r="Y55" i="3"/>
  <c r="Y60" i="3"/>
  <c r="T30" i="6" s="1"/>
  <c r="Y101" i="3"/>
  <c r="Y63" i="3"/>
  <c r="Y73" i="3"/>
  <c r="Y85" i="3"/>
  <c r="T9" i="6" s="1"/>
  <c r="Y20" i="3"/>
  <c r="L41" i="6" s="1"/>
  <c r="Y53" i="3"/>
  <c r="Y54" i="3"/>
  <c r="Y49" i="3"/>
  <c r="Y37" i="3"/>
  <c r="Y99" i="3"/>
  <c r="Y39" i="3"/>
  <c r="Y88" i="3"/>
  <c r="Y38" i="3"/>
  <c r="Y81" i="3"/>
  <c r="W104" i="3"/>
  <c r="H31" i="4" s="1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P32" i="4" s="1"/>
  <c r="W90" i="3"/>
  <c r="W89" i="3"/>
  <c r="W88" i="3"/>
  <c r="W87" i="3"/>
  <c r="R34" i="4" s="1"/>
  <c r="W86" i="3"/>
  <c r="P29" i="4" s="1"/>
  <c r="W85" i="3"/>
  <c r="T39" i="4" s="1"/>
  <c r="W84" i="3"/>
  <c r="W83" i="3"/>
  <c r="W82" i="3"/>
  <c r="P13" i="4" s="1"/>
  <c r="W81" i="3"/>
  <c r="W80" i="3"/>
  <c r="J40" i="4" s="1"/>
  <c r="W79" i="3"/>
  <c r="W78" i="3"/>
  <c r="W77" i="3"/>
  <c r="T8" i="4" s="1"/>
  <c r="W76" i="3"/>
  <c r="W75" i="3"/>
  <c r="W74" i="3"/>
  <c r="W73" i="3"/>
  <c r="W72" i="3"/>
  <c r="W71" i="3"/>
  <c r="P19" i="4" s="1"/>
  <c r="W70" i="3"/>
  <c r="R8" i="4" s="1"/>
  <c r="W69" i="3"/>
  <c r="N21" i="4" s="1"/>
  <c r="W68" i="3"/>
  <c r="T4" i="4" s="1"/>
  <c r="W67" i="3"/>
  <c r="T12" i="4" s="1"/>
  <c r="W66" i="3"/>
  <c r="W65" i="3"/>
  <c r="W64" i="3"/>
  <c r="R12" i="4" s="1"/>
  <c r="W63" i="3"/>
  <c r="R39" i="4" s="1"/>
  <c r="W62" i="3"/>
  <c r="W61" i="3"/>
  <c r="W60" i="3"/>
  <c r="W59" i="3"/>
  <c r="T3" i="4" s="1"/>
  <c r="W58" i="3"/>
  <c r="W57" i="3"/>
  <c r="W56" i="3"/>
  <c r="P33" i="4" s="1"/>
  <c r="W55" i="3"/>
  <c r="W54" i="3"/>
  <c r="N38" i="4" s="1"/>
  <c r="W53" i="3"/>
  <c r="R22" i="4" s="1"/>
  <c r="W52" i="3"/>
  <c r="W51" i="3"/>
  <c r="W50" i="3"/>
  <c r="P34" i="4" s="1"/>
  <c r="W49" i="3"/>
  <c r="L25" i="4" s="1"/>
  <c r="W48" i="3"/>
  <c r="W47" i="3"/>
  <c r="W46" i="3"/>
  <c r="J37" i="4" s="1"/>
  <c r="W45" i="3"/>
  <c r="W44" i="3"/>
  <c r="P22" i="4" s="1"/>
  <c r="W43" i="3"/>
  <c r="W42" i="3"/>
  <c r="W41" i="3"/>
  <c r="W40" i="3"/>
  <c r="L34" i="4" s="1"/>
  <c r="W39" i="3"/>
  <c r="N2" i="4" s="1"/>
  <c r="W38" i="3"/>
  <c r="W37" i="3"/>
  <c r="W36" i="3"/>
  <c r="W35" i="3"/>
  <c r="J35" i="4" s="1"/>
  <c r="W34" i="3"/>
  <c r="T34" i="4" s="1"/>
  <c r="W33" i="3"/>
  <c r="T40" i="4" s="1"/>
  <c r="W32" i="3"/>
  <c r="N5" i="4" s="1"/>
  <c r="W31" i="3"/>
  <c r="W30" i="3"/>
  <c r="W29" i="3"/>
  <c r="N40" i="4" s="1"/>
  <c r="W28" i="3"/>
  <c r="P30" i="4" s="1"/>
  <c r="W27" i="3"/>
  <c r="L6" i="4" s="1"/>
  <c r="W26" i="3"/>
  <c r="L40" i="4" s="1"/>
  <c r="W25" i="3"/>
  <c r="W24" i="3"/>
  <c r="N16" i="4" s="1"/>
  <c r="W23" i="3"/>
  <c r="L21" i="4" s="1"/>
  <c r="W22" i="3"/>
  <c r="J2" i="4" s="1"/>
  <c r="W21" i="3"/>
  <c r="W20" i="3"/>
  <c r="L4" i="4" s="1"/>
  <c r="W19" i="3"/>
  <c r="J27" i="4" s="1"/>
  <c r="W18" i="3"/>
  <c r="F36" i="4" s="1"/>
  <c r="W17" i="3"/>
  <c r="H26" i="4" s="1"/>
  <c r="W16" i="3"/>
  <c r="F30" i="4" s="1"/>
  <c r="W15" i="3"/>
  <c r="J19" i="4" s="1"/>
  <c r="W14" i="3"/>
  <c r="F4" i="4" s="1"/>
  <c r="W13" i="3"/>
  <c r="F5" i="4" s="1"/>
  <c r="W12" i="3"/>
  <c r="W11" i="3"/>
  <c r="F11" i="4" s="1"/>
  <c r="W10" i="3"/>
  <c r="AA10" i="3"/>
  <c r="X11" i="3"/>
  <c r="X12" i="3"/>
  <c r="F13" i="5" s="1"/>
  <c r="X13" i="3"/>
  <c r="F25" i="5" s="1"/>
  <c r="X14" i="3"/>
  <c r="F5" i="5" s="1"/>
  <c r="X15" i="3"/>
  <c r="H33" i="5" s="1"/>
  <c r="X16" i="3"/>
  <c r="J30" i="5" s="1"/>
  <c r="X17" i="3"/>
  <c r="X18" i="3"/>
  <c r="X19" i="3"/>
  <c r="N8" i="5" s="1"/>
  <c r="X20" i="3"/>
  <c r="L28" i="5" s="1"/>
  <c r="X21" i="3"/>
  <c r="X22" i="3"/>
  <c r="X23" i="3"/>
  <c r="J7" i="5" s="1"/>
  <c r="X24" i="3"/>
  <c r="H34" i="5" s="1"/>
  <c r="X25" i="3"/>
  <c r="X26" i="3"/>
  <c r="L41" i="5" s="1"/>
  <c r="X27" i="3"/>
  <c r="X28" i="3"/>
  <c r="X29" i="3"/>
  <c r="L12" i="5" s="1"/>
  <c r="X30" i="3"/>
  <c r="P11" i="5" s="1"/>
  <c r="X31" i="3"/>
  <c r="N23" i="5" s="1"/>
  <c r="X32" i="3"/>
  <c r="X33" i="3"/>
  <c r="P24" i="5" s="1"/>
  <c r="X34" i="3"/>
  <c r="R24" i="5" s="1"/>
  <c r="X35" i="3"/>
  <c r="T24" i="5" s="1"/>
  <c r="X36" i="3"/>
  <c r="X37" i="3"/>
  <c r="T34" i="5" s="1"/>
  <c r="X38" i="3"/>
  <c r="X39" i="3"/>
  <c r="N3" i="5" s="1"/>
  <c r="X40" i="3"/>
  <c r="X41" i="3"/>
  <c r="X42" i="3"/>
  <c r="X43" i="3"/>
  <c r="X44" i="3"/>
  <c r="X45" i="3"/>
  <c r="X46" i="3"/>
  <c r="J38" i="5" s="1"/>
  <c r="X47" i="3"/>
  <c r="H29" i="5" s="1"/>
  <c r="X48" i="3"/>
  <c r="X49" i="3"/>
  <c r="L26" i="5" s="1"/>
  <c r="X50" i="3"/>
  <c r="X51" i="3"/>
  <c r="X52" i="3"/>
  <c r="X53" i="3"/>
  <c r="R5" i="5" s="1"/>
  <c r="X54" i="3"/>
  <c r="P40" i="5" s="1"/>
  <c r="X55" i="3"/>
  <c r="X56" i="3"/>
  <c r="P34" i="5" s="1"/>
  <c r="X57" i="3"/>
  <c r="X58" i="3"/>
  <c r="X59" i="3"/>
  <c r="L38" i="5" s="1"/>
  <c r="X60" i="3"/>
  <c r="X61" i="3"/>
  <c r="X62" i="3"/>
  <c r="X63" i="3"/>
  <c r="R40" i="5" s="1"/>
  <c r="X64" i="3"/>
  <c r="R13" i="5" s="1"/>
  <c r="X65" i="3"/>
  <c r="X66" i="3"/>
  <c r="X67" i="3"/>
  <c r="T13" i="5" s="1"/>
  <c r="X68" i="3"/>
  <c r="T5" i="5" s="1"/>
  <c r="X69" i="3"/>
  <c r="X70" i="3"/>
  <c r="R9" i="5" s="1"/>
  <c r="X71" i="3"/>
  <c r="P20" i="5" s="1"/>
  <c r="X72" i="3"/>
  <c r="X73" i="3"/>
  <c r="X74" i="3"/>
  <c r="X75" i="3"/>
  <c r="X76" i="3"/>
  <c r="X77" i="3"/>
  <c r="T9" i="5" s="1"/>
  <c r="X78" i="3"/>
  <c r="X79" i="3"/>
  <c r="X80" i="3"/>
  <c r="J41" i="5" s="1"/>
  <c r="X81" i="3"/>
  <c r="X82" i="3"/>
  <c r="P14" i="5" s="1"/>
  <c r="X83" i="3"/>
  <c r="X84" i="3"/>
  <c r="X85" i="3"/>
  <c r="T40" i="5" s="1"/>
  <c r="X86" i="3"/>
  <c r="N12" i="5" s="1"/>
  <c r="X87" i="3"/>
  <c r="R35" i="5" s="1"/>
  <c r="X88" i="3"/>
  <c r="X89" i="3"/>
  <c r="X90" i="3"/>
  <c r="X91" i="3"/>
  <c r="P33" i="5" s="1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H32" i="5" s="1"/>
  <c r="AA104" i="3"/>
  <c r="H63" i="7" s="1"/>
  <c r="AA103" i="3"/>
  <c r="AA102" i="3"/>
  <c r="AA100" i="3"/>
  <c r="AA98" i="3"/>
  <c r="AA97" i="3"/>
  <c r="AA96" i="3"/>
  <c r="AA95" i="3"/>
  <c r="AA94" i="3"/>
  <c r="AA93" i="3"/>
  <c r="AA92" i="3"/>
  <c r="AA91" i="3"/>
  <c r="P68" i="7" s="1"/>
  <c r="AA90" i="3"/>
  <c r="AA87" i="3"/>
  <c r="R47" i="7" s="1"/>
  <c r="AA85" i="3"/>
  <c r="T50" i="7" s="1"/>
  <c r="AA84" i="3"/>
  <c r="AA83" i="3"/>
  <c r="AA81" i="3"/>
  <c r="AA80" i="3"/>
  <c r="J61" i="7" s="1"/>
  <c r="AA79" i="3"/>
  <c r="AA78" i="3"/>
  <c r="AA77" i="3"/>
  <c r="T58" i="7" s="1"/>
  <c r="AA76" i="3"/>
  <c r="AA75" i="3"/>
  <c r="AA74" i="3"/>
  <c r="AA72" i="3"/>
  <c r="AA71" i="3"/>
  <c r="P56" i="7" s="1"/>
  <c r="AA70" i="3"/>
  <c r="R58" i="7" s="1"/>
  <c r="AA69" i="3"/>
  <c r="N71" i="7" s="1"/>
  <c r="AA68" i="3"/>
  <c r="T78" i="7" s="1"/>
  <c r="AA67" i="3"/>
  <c r="T46" i="7" s="1"/>
  <c r="AA66" i="3"/>
  <c r="AA65" i="3"/>
  <c r="AA64" i="3"/>
  <c r="R46" i="7" s="1"/>
  <c r="AA62" i="3"/>
  <c r="AA61" i="3"/>
  <c r="AA60" i="3"/>
  <c r="T48" i="7" s="1"/>
  <c r="AA59" i="3"/>
  <c r="N58" i="7" s="1"/>
  <c r="AA58" i="3"/>
  <c r="AA57" i="3"/>
  <c r="AA56" i="3"/>
  <c r="P76" i="7" s="1"/>
  <c r="AA52" i="3"/>
  <c r="AA51" i="3"/>
  <c r="AA50" i="3"/>
  <c r="P47" i="7" s="1"/>
  <c r="AA49" i="3"/>
  <c r="L82" i="7" s="1"/>
  <c r="AA48" i="3"/>
  <c r="AA47" i="3"/>
  <c r="R61" i="7" s="1"/>
  <c r="AA46" i="3"/>
  <c r="J51" i="7" s="1"/>
  <c r="AA45" i="3"/>
  <c r="AA44" i="3"/>
  <c r="P53" i="7" s="1"/>
  <c r="AA43" i="3"/>
  <c r="AA42" i="3"/>
  <c r="P79" i="7" s="1"/>
  <c r="AA41" i="3"/>
  <c r="N72" i="6" s="1"/>
  <c r="AA40" i="3"/>
  <c r="L47" i="7" s="1"/>
  <c r="AA36" i="3"/>
  <c r="AA35" i="3"/>
  <c r="T64" i="7" s="1"/>
  <c r="AA34" i="3"/>
  <c r="N75" i="7" s="1"/>
  <c r="AA33" i="3"/>
  <c r="R66" i="7" s="1"/>
  <c r="AA32" i="3"/>
  <c r="P77" i="6" s="1"/>
  <c r="AA31" i="3"/>
  <c r="N49" i="7" s="1"/>
  <c r="AA30" i="3"/>
  <c r="P83" i="7" s="1"/>
  <c r="AA29" i="3"/>
  <c r="N73" i="7" s="1"/>
  <c r="AA28" i="3"/>
  <c r="P59" i="7" s="1"/>
  <c r="AA27" i="3"/>
  <c r="L53" i="6" s="1"/>
  <c r="AA26" i="3"/>
  <c r="L61" i="7" s="1"/>
  <c r="AA25" i="3"/>
  <c r="L62" i="7" s="1"/>
  <c r="AA24" i="3"/>
  <c r="H72" i="6" s="1"/>
  <c r="AA23" i="3"/>
  <c r="L52" i="6" s="1"/>
  <c r="AA22" i="3"/>
  <c r="H57" i="7" s="1"/>
  <c r="AA21" i="3"/>
  <c r="R69" i="7" s="1"/>
  <c r="AA19" i="3"/>
  <c r="J66" i="7" s="1"/>
  <c r="AA18" i="3"/>
  <c r="F77" i="6" s="1"/>
  <c r="AA17" i="3"/>
  <c r="H79" i="7" s="1"/>
  <c r="AA16" i="3"/>
  <c r="F59" i="7" s="1"/>
  <c r="AA15" i="3"/>
  <c r="J52" i="6" s="1"/>
  <c r="AA14" i="3"/>
  <c r="J73" i="6" s="1"/>
  <c r="AA13" i="3"/>
  <c r="H70" i="7" s="1"/>
  <c r="AA12" i="3"/>
  <c r="F65" i="7" s="1"/>
  <c r="AA11" i="3"/>
  <c r="L77" i="7" s="1"/>
  <c r="J36" i="7" l="1"/>
  <c r="L12" i="7"/>
  <c r="N24" i="7"/>
  <c r="T15" i="7"/>
  <c r="F16" i="7"/>
  <c r="J17" i="7"/>
  <c r="L18" i="7"/>
  <c r="N32" i="7"/>
  <c r="T28" i="7"/>
  <c r="J78" i="7"/>
  <c r="F33" i="7"/>
  <c r="L68" i="7"/>
  <c r="R60" i="7"/>
  <c r="F29" i="7"/>
  <c r="J29" i="7"/>
  <c r="L31" i="7"/>
  <c r="N7" i="7"/>
  <c r="T14" i="7"/>
  <c r="N54" i="7"/>
  <c r="R67" i="7"/>
  <c r="F9" i="7"/>
  <c r="J30" i="7"/>
  <c r="L32" i="7"/>
  <c r="P16" i="7"/>
  <c r="F75" i="7"/>
  <c r="N63" i="7"/>
  <c r="R64" i="7"/>
  <c r="F39" i="7"/>
  <c r="J21" i="7"/>
  <c r="L24" i="7"/>
  <c r="P13" i="7"/>
  <c r="F80" i="7"/>
  <c r="N72" i="7"/>
  <c r="T61" i="7"/>
  <c r="J25" i="7"/>
  <c r="N4" i="7"/>
  <c r="H66" i="7"/>
  <c r="N68" i="7"/>
  <c r="T63" i="7"/>
  <c r="Y82" i="3"/>
  <c r="H36" i="7"/>
  <c r="J7" i="7"/>
  <c r="N16" i="7"/>
  <c r="P10" i="7"/>
  <c r="H73" i="7"/>
  <c r="N80" i="7"/>
  <c r="H24" i="7"/>
  <c r="L4" i="7"/>
  <c r="N26" i="7"/>
  <c r="H82" i="7"/>
  <c r="AA82" i="3"/>
  <c r="P55" i="7" s="1"/>
  <c r="H40" i="7"/>
  <c r="L17" i="7"/>
  <c r="N31" i="7"/>
  <c r="J80" i="7"/>
  <c r="P48" i="7"/>
  <c r="F4" i="7"/>
  <c r="J33" i="7"/>
  <c r="N38" i="7"/>
  <c r="T3" i="7"/>
  <c r="J70" i="7"/>
  <c r="P84" i="7"/>
  <c r="Y44" i="8"/>
  <c r="Y47" i="8"/>
  <c r="L76" i="7"/>
  <c r="P63" i="7"/>
  <c r="N62" i="7"/>
  <c r="P54" i="7"/>
  <c r="T76" i="7"/>
  <c r="R49" i="7"/>
  <c r="R78" i="7"/>
  <c r="T49" i="7"/>
  <c r="P58" i="7"/>
  <c r="T69" i="7"/>
  <c r="R50" i="7"/>
  <c r="L82" i="6"/>
  <c r="J46" i="7"/>
  <c r="J82" i="7"/>
  <c r="L78" i="7"/>
  <c r="J68" i="7"/>
  <c r="J75" i="7"/>
  <c r="L75" i="7"/>
  <c r="N14" i="7"/>
  <c r="H65" i="7"/>
  <c r="J73" i="7"/>
  <c r="F22" i="7"/>
  <c r="F68" i="7"/>
  <c r="H71" i="7"/>
  <c r="P21" i="7"/>
  <c r="F69" i="7"/>
  <c r="H72" i="7"/>
  <c r="F25" i="7"/>
  <c r="L10" i="7"/>
  <c r="L83" i="7"/>
  <c r="N79" i="7"/>
  <c r="T66" i="7"/>
  <c r="J26" i="7"/>
  <c r="R3" i="7"/>
  <c r="F79" i="7"/>
  <c r="L84" i="7"/>
  <c r="N70" i="7"/>
  <c r="R63" i="7"/>
  <c r="H35" i="7"/>
  <c r="J3" i="7"/>
  <c r="R12" i="7"/>
  <c r="H52" i="7"/>
  <c r="H81" i="7"/>
  <c r="N52" i="7"/>
  <c r="H27" i="7"/>
  <c r="L36" i="7"/>
  <c r="F54" i="7"/>
  <c r="H59" i="7"/>
  <c r="H78" i="7"/>
  <c r="L59" i="7"/>
  <c r="N55" i="7"/>
  <c r="R80" i="7"/>
  <c r="P17" i="7"/>
  <c r="R14" i="7"/>
  <c r="F47" i="7"/>
  <c r="H55" i="7"/>
  <c r="L55" i="7"/>
  <c r="R81" i="7"/>
  <c r="T11" i="7"/>
  <c r="H19" i="7"/>
  <c r="P5" i="7"/>
  <c r="R11" i="7"/>
  <c r="F51" i="7"/>
  <c r="H56" i="7"/>
  <c r="J54" i="7"/>
  <c r="L48" i="7"/>
  <c r="L9" i="7"/>
  <c r="L19" i="7"/>
  <c r="H20" i="7"/>
  <c r="L28" i="7"/>
  <c r="N3" i="7"/>
  <c r="P26" i="7"/>
  <c r="R8" i="7"/>
  <c r="F61" i="7"/>
  <c r="H48" i="7"/>
  <c r="J50" i="7"/>
  <c r="L74" i="7"/>
  <c r="N67" i="7"/>
  <c r="R83" i="7"/>
  <c r="N5" i="7"/>
  <c r="H83" i="7"/>
  <c r="H12" i="7"/>
  <c r="J14" i="7"/>
  <c r="L34" i="7"/>
  <c r="N35" i="7"/>
  <c r="P20" i="7"/>
  <c r="F49" i="7"/>
  <c r="H60" i="7"/>
  <c r="L53" i="7"/>
  <c r="N77" i="7"/>
  <c r="P65" i="7"/>
  <c r="R84" i="7"/>
  <c r="N41" i="7"/>
  <c r="H13" i="7"/>
  <c r="J11" i="7"/>
  <c r="L6" i="7"/>
  <c r="N36" i="7"/>
  <c r="P12" i="7"/>
  <c r="F62" i="7"/>
  <c r="H77" i="7"/>
  <c r="J59" i="7"/>
  <c r="L58" i="7"/>
  <c r="N64" i="7"/>
  <c r="P66" i="7"/>
  <c r="J37" i="7"/>
  <c r="H46" i="7"/>
  <c r="P60" i="7"/>
  <c r="H38" i="7"/>
  <c r="J38" i="7"/>
  <c r="L29" i="7"/>
  <c r="P28" i="7"/>
  <c r="T17" i="7"/>
  <c r="F66" i="7"/>
  <c r="H64" i="7"/>
  <c r="L65" i="7"/>
  <c r="N53" i="7"/>
  <c r="P73" i="7"/>
  <c r="F3" i="7"/>
  <c r="F34" i="7"/>
  <c r="H8" i="7"/>
  <c r="J8" i="7"/>
  <c r="L30" i="7"/>
  <c r="N13" i="7"/>
  <c r="T5" i="7"/>
  <c r="F76" i="7"/>
  <c r="H53" i="7"/>
  <c r="J62" i="7"/>
  <c r="N65" i="7"/>
  <c r="P75" i="7"/>
  <c r="T60" i="7"/>
  <c r="T41" i="7"/>
  <c r="F6" i="7"/>
  <c r="H32" i="7"/>
  <c r="J32" i="7"/>
  <c r="N30" i="7"/>
  <c r="P15" i="7"/>
  <c r="F73" i="7"/>
  <c r="H58" i="7"/>
  <c r="J64" i="7"/>
  <c r="L73" i="7"/>
  <c r="P80" i="7"/>
  <c r="T47" i="7"/>
  <c r="L56" i="7"/>
  <c r="F17" i="7"/>
  <c r="N11" i="7"/>
  <c r="P4" i="7"/>
  <c r="T25" i="7"/>
  <c r="J74" i="7"/>
  <c r="J69" i="7"/>
  <c r="L71" i="7"/>
  <c r="N57" i="7"/>
  <c r="R79" i="7"/>
  <c r="F13" i="7"/>
  <c r="H21" i="7"/>
  <c r="L23" i="7"/>
  <c r="H84" i="7"/>
  <c r="J63" i="7"/>
  <c r="L60" i="7"/>
  <c r="L72" i="7"/>
  <c r="N50" i="7"/>
  <c r="T75" i="7"/>
  <c r="J41" i="7"/>
  <c r="N37" i="7"/>
  <c r="T16" i="7"/>
  <c r="H10" i="7"/>
  <c r="F74" i="7"/>
  <c r="J79" i="7"/>
  <c r="N74" i="7"/>
  <c r="N46" i="7"/>
  <c r="F37" i="7"/>
  <c r="H28" i="7"/>
  <c r="J18" i="7"/>
  <c r="L16" i="7"/>
  <c r="N8" i="7"/>
  <c r="P39" i="7"/>
  <c r="F63" i="7"/>
  <c r="L51" i="7"/>
  <c r="N81" i="7"/>
  <c r="P49" i="7"/>
  <c r="F26" i="7"/>
  <c r="J57" i="7"/>
  <c r="H4" i="7"/>
  <c r="P41" i="7"/>
  <c r="H47" i="7"/>
  <c r="J77" i="7"/>
  <c r="R65" i="7"/>
  <c r="L22" i="7"/>
  <c r="J31" i="7"/>
  <c r="H16" i="7"/>
  <c r="J27" i="7"/>
  <c r="L39" i="7"/>
  <c r="P7" i="7"/>
  <c r="F67" i="7"/>
  <c r="H76" i="7"/>
  <c r="J81" i="7"/>
  <c r="L49" i="7"/>
  <c r="N83" i="7"/>
  <c r="P69" i="7"/>
  <c r="R48" i="7"/>
  <c r="Z105" i="3"/>
  <c r="J49" i="7"/>
  <c r="F7" i="7"/>
  <c r="N59" i="7"/>
  <c r="H25" i="7"/>
  <c r="N21" i="7"/>
  <c r="F82" i="7"/>
  <c r="N56" i="7"/>
  <c r="N27" i="7"/>
  <c r="H34" i="7"/>
  <c r="F57" i="7"/>
  <c r="H9" i="7"/>
  <c r="H51" i="7"/>
  <c r="P37" i="7"/>
  <c r="H61" i="7"/>
  <c r="F8" i="7"/>
  <c r="H39" i="7"/>
  <c r="J24" i="7"/>
  <c r="L7" i="7"/>
  <c r="N10" i="7"/>
  <c r="F52" i="7"/>
  <c r="F64" i="7"/>
  <c r="F81" i="7"/>
  <c r="H49" i="7"/>
  <c r="H75" i="7"/>
  <c r="J55" i="7"/>
  <c r="J58" i="7"/>
  <c r="J83" i="7"/>
  <c r="L69" i="7"/>
  <c r="N48" i="7"/>
  <c r="F30" i="7"/>
  <c r="P25" i="7"/>
  <c r="F31" i="7"/>
  <c r="H33" i="7"/>
  <c r="L41" i="7"/>
  <c r="J53" i="7"/>
  <c r="F36" i="7"/>
  <c r="F32" i="7"/>
  <c r="H5" i="7"/>
  <c r="H41" i="7"/>
  <c r="L37" i="7"/>
  <c r="N28" i="7"/>
  <c r="P18" i="7"/>
  <c r="R16" i="7"/>
  <c r="F53" i="7"/>
  <c r="F78" i="7"/>
  <c r="H62" i="7"/>
  <c r="H68" i="7"/>
  <c r="J56" i="7"/>
  <c r="J65" i="7"/>
  <c r="J84" i="7"/>
  <c r="L63" i="7"/>
  <c r="L80" i="7"/>
  <c r="N60" i="7"/>
  <c r="P50" i="7"/>
  <c r="P67" i="7"/>
  <c r="R76" i="7"/>
  <c r="T81" i="7"/>
  <c r="L66" i="7"/>
  <c r="F14" i="7"/>
  <c r="R24" i="7"/>
  <c r="J35" i="7"/>
  <c r="R20" i="7"/>
  <c r="H6" i="7"/>
  <c r="N19" i="7"/>
  <c r="F70" i="7"/>
  <c r="H15" i="7"/>
  <c r="L13" i="7"/>
  <c r="F77" i="7"/>
  <c r="J19" i="7"/>
  <c r="F19" i="7"/>
  <c r="F24" i="7"/>
  <c r="H26" i="7"/>
  <c r="H30" i="7"/>
  <c r="H7" i="7"/>
  <c r="J10" i="7"/>
  <c r="N34" i="7"/>
  <c r="N22" i="7"/>
  <c r="P35" i="7"/>
  <c r="R25" i="7"/>
  <c r="F55" i="7"/>
  <c r="F58" i="7"/>
  <c r="F83" i="7"/>
  <c r="H74" i="7"/>
  <c r="H69" i="7"/>
  <c r="J48" i="7"/>
  <c r="J71" i="7"/>
  <c r="L54" i="7"/>
  <c r="L57" i="7"/>
  <c r="L79" i="7"/>
  <c r="N47" i="7"/>
  <c r="N66" i="7"/>
  <c r="P46" i="7"/>
  <c r="P77" i="7"/>
  <c r="J39" i="7"/>
  <c r="F5" i="7"/>
  <c r="F41" i="7"/>
  <c r="P61" i="7"/>
  <c r="L15" i="7"/>
  <c r="N78" i="7"/>
  <c r="F18" i="7"/>
  <c r="F50" i="7"/>
  <c r="F35" i="7"/>
  <c r="P14" i="7"/>
  <c r="F46" i="7"/>
  <c r="N84" i="7"/>
  <c r="F20" i="7"/>
  <c r="H14" i="7"/>
  <c r="J28" i="7"/>
  <c r="J40" i="7"/>
  <c r="N6" i="7"/>
  <c r="N9" i="7"/>
  <c r="P27" i="7"/>
  <c r="P8" i="7"/>
  <c r="R17" i="7"/>
  <c r="F56" i="7"/>
  <c r="F84" i="7"/>
  <c r="H80" i="7"/>
  <c r="J60" i="7"/>
  <c r="J72" i="7"/>
  <c r="L50" i="7"/>
  <c r="L67" i="7"/>
  <c r="L70" i="7"/>
  <c r="N76" i="7"/>
  <c r="P64" i="7"/>
  <c r="P81" i="7"/>
  <c r="R75" i="7"/>
  <c r="F11" i="7"/>
  <c r="L25" i="7"/>
  <c r="P11" i="7"/>
  <c r="L14" i="7"/>
  <c r="F12" i="7"/>
  <c r="F10" i="7"/>
  <c r="H3" i="7"/>
  <c r="H11" i="7"/>
  <c r="J4" i="7"/>
  <c r="J34" i="7"/>
  <c r="J22" i="7"/>
  <c r="L38" i="7"/>
  <c r="N33" i="7"/>
  <c r="N25" i="7"/>
  <c r="R41" i="7"/>
  <c r="F48" i="7"/>
  <c r="F71" i="7"/>
  <c r="H54" i="7"/>
  <c r="J47" i="7"/>
  <c r="L46" i="7"/>
  <c r="N61" i="7"/>
  <c r="P78" i="7"/>
  <c r="T84" i="7"/>
  <c r="L21" i="7"/>
  <c r="R19" i="7"/>
  <c r="J52" i="7"/>
  <c r="F38" i="7"/>
  <c r="N20" i="7"/>
  <c r="R28" i="7"/>
  <c r="H29" i="7"/>
  <c r="P3" i="7"/>
  <c r="F40" i="7"/>
  <c r="H18" i="7"/>
  <c r="H31" i="7"/>
  <c r="J16" i="7"/>
  <c r="R26" i="7"/>
  <c r="F60" i="7"/>
  <c r="F72" i="7"/>
  <c r="H50" i="7"/>
  <c r="H67" i="7"/>
  <c r="J76" i="7"/>
  <c r="L52" i="7"/>
  <c r="L64" i="7"/>
  <c r="L81" i="7"/>
  <c r="J26" i="4"/>
  <c r="F38" i="6"/>
  <c r="L28" i="4"/>
  <c r="N11" i="4"/>
  <c r="N12" i="4"/>
  <c r="P2" i="4"/>
  <c r="F14" i="5"/>
  <c r="F17" i="5"/>
  <c r="F20" i="4"/>
  <c r="F39" i="6"/>
  <c r="F25" i="4"/>
  <c r="F40" i="6"/>
  <c r="F37" i="4"/>
  <c r="F17" i="6"/>
  <c r="H7" i="4"/>
  <c r="H39" i="6"/>
  <c r="H11" i="4"/>
  <c r="P41" i="6"/>
  <c r="J11" i="4"/>
  <c r="J15" i="4"/>
  <c r="J16" i="4"/>
  <c r="H2" i="4"/>
  <c r="P40" i="6"/>
  <c r="L31" i="4"/>
  <c r="R5" i="6"/>
  <c r="N8" i="4"/>
  <c r="J17" i="6"/>
  <c r="F31" i="5"/>
  <c r="J22" i="4"/>
  <c r="J23" i="4"/>
  <c r="H21" i="5"/>
  <c r="T38" i="6"/>
  <c r="H17" i="5"/>
  <c r="F35" i="5"/>
  <c r="R32" i="6"/>
  <c r="J31" i="4"/>
  <c r="N28" i="5"/>
  <c r="H17" i="4"/>
  <c r="L27" i="4"/>
  <c r="P29" i="5"/>
  <c r="L35" i="4"/>
  <c r="H14" i="4"/>
  <c r="H23" i="4"/>
  <c r="J38" i="4"/>
  <c r="J4" i="5"/>
  <c r="H22" i="6"/>
  <c r="J75" i="6"/>
  <c r="F7" i="6"/>
  <c r="F73" i="6"/>
  <c r="H33" i="4"/>
  <c r="L3" i="4"/>
  <c r="J21" i="5"/>
  <c r="H9" i="6"/>
  <c r="H38" i="4"/>
  <c r="L8" i="4"/>
  <c r="P35" i="4"/>
  <c r="J25" i="5"/>
  <c r="L9" i="4"/>
  <c r="P39" i="4"/>
  <c r="H18" i="4"/>
  <c r="H80" i="6"/>
  <c r="J3" i="4"/>
  <c r="L15" i="4"/>
  <c r="P40" i="4"/>
  <c r="J39" i="5"/>
  <c r="L35" i="6"/>
  <c r="J6" i="4"/>
  <c r="L16" i="4"/>
  <c r="L23" i="5"/>
  <c r="L28" i="6"/>
  <c r="F9" i="4"/>
  <c r="J10" i="4"/>
  <c r="L19" i="4"/>
  <c r="N24" i="5"/>
  <c r="N34" i="6"/>
  <c r="N41" i="6"/>
  <c r="P10" i="6"/>
  <c r="P38" i="6"/>
  <c r="L39" i="6"/>
  <c r="N39" i="6"/>
  <c r="P20" i="6"/>
  <c r="F17" i="4"/>
  <c r="J34" i="4"/>
  <c r="L18" i="5"/>
  <c r="P52" i="6"/>
  <c r="L56" i="6"/>
  <c r="T74" i="6"/>
  <c r="N67" i="6"/>
  <c r="H82" i="6"/>
  <c r="P65" i="6"/>
  <c r="N65" i="6"/>
  <c r="J79" i="6"/>
  <c r="J82" i="6"/>
  <c r="P63" i="6"/>
  <c r="N75" i="6"/>
  <c r="H54" i="6"/>
  <c r="R65" i="6"/>
  <c r="T65" i="6"/>
  <c r="J68" i="6"/>
  <c r="T54" i="6"/>
  <c r="T48" i="6"/>
  <c r="T88" i="6"/>
  <c r="R11" i="5"/>
  <c r="T7" i="5"/>
  <c r="P5" i="5"/>
  <c r="H22" i="5"/>
  <c r="L37" i="5"/>
  <c r="R15" i="5"/>
  <c r="N19" i="5"/>
  <c r="F30" i="5"/>
  <c r="J37" i="5"/>
  <c r="F11" i="5"/>
  <c r="J18" i="5"/>
  <c r="H23" i="5"/>
  <c r="F9" i="5"/>
  <c r="R34" i="5"/>
  <c r="F41" i="5"/>
  <c r="F24" i="5"/>
  <c r="H18" i="5"/>
  <c r="F20" i="5"/>
  <c r="J9" i="5"/>
  <c r="H14" i="5"/>
  <c r="H30" i="5"/>
  <c r="F18" i="5"/>
  <c r="H11" i="5"/>
  <c r="F33" i="5"/>
  <c r="J22" i="5"/>
  <c r="L7" i="4"/>
  <c r="R2" i="4"/>
  <c r="T33" i="4"/>
  <c r="P9" i="4"/>
  <c r="L33" i="4"/>
  <c r="P31" i="4"/>
  <c r="R4" i="4"/>
  <c r="T22" i="4"/>
  <c r="F29" i="6"/>
  <c r="F3" i="6"/>
  <c r="F34" i="6"/>
  <c r="F35" i="6"/>
  <c r="F31" i="6"/>
  <c r="L33" i="6"/>
  <c r="H10" i="4"/>
  <c r="N18" i="4"/>
  <c r="N20" i="4"/>
  <c r="P19" i="5"/>
  <c r="F57" i="6"/>
  <c r="L48" i="6"/>
  <c r="R76" i="6"/>
  <c r="L88" i="6"/>
  <c r="L65" i="6"/>
  <c r="L75" i="6"/>
  <c r="J65" i="6"/>
  <c r="N59" i="6"/>
  <c r="P86" i="6"/>
  <c r="P46" i="6"/>
  <c r="L72" i="6"/>
  <c r="P61" i="6"/>
  <c r="T72" i="6"/>
  <c r="R58" i="6"/>
  <c r="T58" i="6"/>
  <c r="R82" i="6"/>
  <c r="P73" i="6"/>
  <c r="N70" i="6"/>
  <c r="N69" i="6"/>
  <c r="T87" i="6"/>
  <c r="T47" i="6"/>
  <c r="R17" i="5"/>
  <c r="T17" i="5"/>
  <c r="T6" i="5"/>
  <c r="P23" i="5"/>
  <c r="J35" i="5"/>
  <c r="P13" i="5"/>
  <c r="P21" i="5"/>
  <c r="P7" i="5"/>
  <c r="N11" i="5"/>
  <c r="P31" i="5"/>
  <c r="N31" i="5"/>
  <c r="L11" i="5"/>
  <c r="N5" i="5"/>
  <c r="F21" i="4"/>
  <c r="H13" i="4"/>
  <c r="N24" i="4"/>
  <c r="P23" i="4"/>
  <c r="H67" i="6"/>
  <c r="P59" i="6"/>
  <c r="N62" i="6"/>
  <c r="J27" i="5"/>
  <c r="L17" i="5"/>
  <c r="L16" i="5"/>
  <c r="J17" i="5"/>
  <c r="J34" i="5"/>
  <c r="J16" i="5"/>
  <c r="N7" i="5"/>
  <c r="L7" i="5"/>
  <c r="L6" i="5"/>
  <c r="L19" i="5"/>
  <c r="F12" i="5"/>
  <c r="F26" i="5"/>
  <c r="F24" i="4"/>
  <c r="J7" i="4"/>
  <c r="J39" i="4"/>
  <c r="L32" i="4"/>
  <c r="R31" i="4"/>
  <c r="F21" i="5"/>
  <c r="L29" i="5"/>
  <c r="H58" i="6"/>
  <c r="N28" i="4"/>
  <c r="F22" i="5"/>
  <c r="L39" i="5"/>
  <c r="P30" i="5"/>
  <c r="R67" i="6"/>
  <c r="P27" i="5"/>
  <c r="F32" i="5"/>
  <c r="L23" i="4"/>
  <c r="L2" i="4"/>
  <c r="L29" i="4"/>
  <c r="R35" i="4"/>
  <c r="N39" i="4"/>
  <c r="T26" i="6"/>
  <c r="R41" i="6"/>
  <c r="R26" i="6"/>
  <c r="F19" i="6"/>
  <c r="H21" i="6"/>
  <c r="H13" i="6"/>
  <c r="F36" i="6"/>
  <c r="H19" i="6"/>
  <c r="H17" i="6"/>
  <c r="F13" i="6"/>
  <c r="J20" i="6"/>
  <c r="N6" i="6"/>
  <c r="R30" i="6"/>
  <c r="P27" i="6"/>
  <c r="P32" i="6"/>
  <c r="R36" i="5"/>
  <c r="N34" i="5"/>
  <c r="N40" i="5"/>
  <c r="H18" i="6"/>
  <c r="J4" i="6"/>
  <c r="J21" i="6"/>
  <c r="J35" i="6"/>
  <c r="J19" i="6"/>
  <c r="L19" i="6"/>
  <c r="L37" i="6"/>
  <c r="H4" i="6"/>
  <c r="H20" i="6"/>
  <c r="J28" i="6"/>
  <c r="J9" i="6"/>
  <c r="H10" i="6"/>
  <c r="J13" i="6"/>
  <c r="F10" i="6"/>
  <c r="T12" i="6"/>
  <c r="F29" i="4"/>
  <c r="L36" i="4"/>
  <c r="N29" i="4"/>
  <c r="J11" i="5"/>
  <c r="N4" i="5"/>
  <c r="N61" i="6"/>
  <c r="J51" i="6"/>
  <c r="J62" i="6"/>
  <c r="P68" i="6"/>
  <c r="F65" i="6"/>
  <c r="N53" i="6"/>
  <c r="L61" i="6"/>
  <c r="H65" i="6"/>
  <c r="L67" i="6"/>
  <c r="L55" i="6"/>
  <c r="N48" i="6"/>
  <c r="N88" i="6"/>
  <c r="P53" i="6"/>
  <c r="P72" i="6"/>
  <c r="H61" i="6"/>
  <c r="L24" i="5"/>
  <c r="L30" i="5"/>
  <c r="P26" i="4"/>
  <c r="F31" i="4"/>
  <c r="T8" i="6"/>
  <c r="N22" i="6"/>
  <c r="N19" i="6"/>
  <c r="L29" i="6"/>
  <c r="P19" i="6"/>
  <c r="N15" i="6"/>
  <c r="L59" i="6"/>
  <c r="L76" i="6"/>
  <c r="L54" i="6"/>
  <c r="N87" i="6"/>
  <c r="N47" i="6"/>
  <c r="R68" i="6"/>
  <c r="N13" i="5"/>
  <c r="P17" i="5"/>
  <c r="L35" i="5"/>
  <c r="N17" i="5"/>
  <c r="H8" i="5"/>
  <c r="P36" i="5"/>
  <c r="L32" i="5"/>
  <c r="F8" i="5"/>
  <c r="N32" i="5"/>
  <c r="J14" i="5"/>
  <c r="H22" i="4"/>
  <c r="N33" i="4"/>
  <c r="F34" i="5"/>
  <c r="J12" i="5"/>
  <c r="L22" i="6"/>
  <c r="J71" i="6"/>
  <c r="R55" i="6"/>
  <c r="L20" i="5"/>
  <c r="H19" i="5"/>
  <c r="J32" i="5"/>
  <c r="L22" i="5"/>
  <c r="J23" i="5"/>
  <c r="P41" i="5"/>
  <c r="F12" i="4"/>
  <c r="F27" i="4"/>
  <c r="F35" i="4"/>
  <c r="N30" i="4"/>
  <c r="N10" i="4"/>
  <c r="L10" i="4"/>
  <c r="P20" i="4"/>
  <c r="P12" i="4"/>
  <c r="T16" i="4"/>
  <c r="R16" i="4"/>
  <c r="T5" i="4"/>
  <c r="P28" i="6"/>
  <c r="N31" i="6"/>
  <c r="L10" i="6"/>
  <c r="J16" i="6"/>
  <c r="H14" i="6"/>
  <c r="H35" i="6"/>
  <c r="F14" i="6"/>
  <c r="F16" i="6"/>
  <c r="T19" i="6"/>
  <c r="N12" i="6"/>
  <c r="L3" i="6"/>
  <c r="F32" i="4"/>
  <c r="N34" i="4"/>
  <c r="P36" i="4"/>
  <c r="N9" i="5"/>
  <c r="N13" i="6"/>
  <c r="J67" i="6"/>
  <c r="H7" i="6"/>
  <c r="F33" i="4"/>
  <c r="H25" i="4"/>
  <c r="L11" i="4"/>
  <c r="N4" i="4"/>
  <c r="N36" i="4"/>
  <c r="F38" i="5"/>
  <c r="J24" i="5"/>
  <c r="N20" i="5"/>
  <c r="L11" i="6"/>
  <c r="J11" i="6"/>
  <c r="L4" i="6"/>
  <c r="L21" i="6"/>
  <c r="N9" i="6"/>
  <c r="R22" i="6"/>
  <c r="L12" i="4"/>
  <c r="F39" i="5"/>
  <c r="H16" i="6"/>
  <c r="T40" i="6"/>
  <c r="P76" i="6"/>
  <c r="N76" i="6"/>
  <c r="P78" i="6"/>
  <c r="F61" i="6"/>
  <c r="P37" i="5"/>
  <c r="N18" i="5"/>
  <c r="N22" i="5"/>
  <c r="T23" i="5"/>
  <c r="R23" i="5"/>
  <c r="P10" i="5"/>
  <c r="N30" i="5"/>
  <c r="L34" i="5"/>
  <c r="P32" i="5"/>
  <c r="R3" i="5"/>
  <c r="L8" i="5"/>
  <c r="L33" i="5"/>
  <c r="L13" i="5"/>
  <c r="J8" i="5"/>
  <c r="H21" i="4"/>
  <c r="F10" i="4"/>
  <c r="R33" i="4"/>
  <c r="F23" i="4"/>
  <c r="N26" i="4"/>
  <c r="J8" i="4"/>
  <c r="J21" i="4"/>
  <c r="F19" i="4"/>
  <c r="J36" i="4"/>
  <c r="J17" i="4"/>
  <c r="H8" i="4"/>
  <c r="R10" i="4"/>
  <c r="P4" i="4"/>
  <c r="T6" i="4"/>
  <c r="N19" i="4"/>
  <c r="H55" i="6"/>
  <c r="H53" i="6"/>
  <c r="F76" i="6"/>
  <c r="F55" i="6"/>
  <c r="F53" i="6"/>
  <c r="F84" i="6"/>
  <c r="J49" i="6"/>
  <c r="J89" i="6"/>
  <c r="H47" i="6"/>
  <c r="F71" i="6"/>
  <c r="H89" i="6"/>
  <c r="F89" i="6"/>
  <c r="H56" i="6"/>
  <c r="F49" i="6"/>
  <c r="F58" i="6"/>
  <c r="H79" i="6"/>
  <c r="F63" i="6"/>
  <c r="H87" i="6"/>
  <c r="R61" i="6"/>
  <c r="H49" i="6"/>
  <c r="F47" i="6"/>
  <c r="F51" i="6"/>
  <c r="F87" i="6"/>
  <c r="L58" i="6"/>
  <c r="H66" i="6"/>
  <c r="H68" i="6"/>
  <c r="L87" i="6"/>
  <c r="N54" i="6"/>
  <c r="L78" i="6"/>
  <c r="L47" i="6"/>
  <c r="L62" i="6"/>
  <c r="N57" i="6"/>
  <c r="J66" i="6"/>
  <c r="N73" i="6"/>
  <c r="R81" i="6"/>
  <c r="N64" i="6"/>
  <c r="T67" i="6"/>
  <c r="L4" i="5"/>
  <c r="T16" i="5"/>
  <c r="H3" i="5"/>
  <c r="J33" i="5"/>
  <c r="J13" i="5"/>
  <c r="J26" i="5"/>
  <c r="L5" i="5"/>
  <c r="H3" i="4"/>
  <c r="F26" i="4"/>
  <c r="H32" i="4"/>
  <c r="F3" i="4"/>
  <c r="H40" i="4"/>
  <c r="N15" i="4"/>
  <c r="N27" i="4"/>
  <c r="R15" i="4"/>
  <c r="P15" i="4"/>
  <c r="N22" i="4"/>
  <c r="F28" i="4"/>
  <c r="H28" i="4"/>
  <c r="R40" i="4"/>
  <c r="P28" i="4"/>
  <c r="R3" i="4"/>
  <c r="P8" i="4"/>
  <c r="T2" i="4"/>
  <c r="H29" i="4"/>
  <c r="R5" i="4"/>
  <c r="H9" i="5"/>
  <c r="J29" i="5"/>
  <c r="N10" i="6"/>
  <c r="J76" i="6"/>
  <c r="H62" i="6"/>
  <c r="H60" i="6"/>
  <c r="F62" i="6"/>
  <c r="F56" i="6"/>
  <c r="L64" i="6"/>
  <c r="F80" i="6"/>
  <c r="F66" i="6"/>
  <c r="F60" i="6"/>
  <c r="T36" i="5"/>
  <c r="R27" i="5"/>
  <c r="J3" i="5"/>
  <c r="H39" i="5"/>
  <c r="H37" i="4"/>
  <c r="H16" i="4"/>
  <c r="F39" i="4"/>
  <c r="J24" i="4"/>
  <c r="F22" i="4"/>
  <c r="H27" i="4"/>
  <c r="F34" i="4"/>
  <c r="F18" i="4"/>
  <c r="F2" i="4"/>
  <c r="H24" i="4"/>
  <c r="F15" i="4"/>
  <c r="T41" i="6"/>
  <c r="N50" i="6"/>
  <c r="P81" i="6"/>
  <c r="L83" i="6"/>
  <c r="P90" i="6"/>
  <c r="N90" i="6"/>
  <c r="P50" i="6"/>
  <c r="N83" i="6"/>
  <c r="P58" i="6"/>
  <c r="P66" i="6"/>
  <c r="P48" i="6"/>
  <c r="P88" i="6"/>
  <c r="J55" i="6"/>
  <c r="R53" i="6"/>
  <c r="T53" i="6"/>
  <c r="T71" i="6"/>
  <c r="P82" i="6"/>
  <c r="P83" i="6"/>
  <c r="N52" i="6"/>
  <c r="T81" i="6"/>
  <c r="R83" i="6"/>
  <c r="T8" i="5"/>
  <c r="J36" i="5"/>
  <c r="R8" i="5"/>
  <c r="N33" i="5"/>
  <c r="H24" i="5"/>
  <c r="H5" i="5"/>
  <c r="P8" i="5"/>
  <c r="J28" i="5"/>
  <c r="J6" i="5"/>
  <c r="J5" i="5"/>
  <c r="J29" i="4"/>
  <c r="H19" i="4"/>
  <c r="J9" i="4"/>
  <c r="H12" i="4"/>
  <c r="L13" i="4"/>
  <c r="N14" i="4"/>
  <c r="L14" i="4"/>
  <c r="P14" i="4"/>
  <c r="L13" i="6"/>
  <c r="J7" i="6"/>
  <c r="J33" i="6"/>
  <c r="L25" i="6"/>
  <c r="J29" i="6"/>
  <c r="L20" i="6"/>
  <c r="L23" i="6"/>
  <c r="J27" i="6"/>
  <c r="H24" i="6"/>
  <c r="P17" i="6"/>
  <c r="F8" i="4"/>
  <c r="F40" i="4"/>
  <c r="H30" i="4"/>
  <c r="N9" i="4"/>
  <c r="P5" i="4"/>
  <c r="H12" i="5"/>
  <c r="N27" i="5"/>
  <c r="N32" i="6"/>
  <c r="P47" i="6"/>
  <c r="P87" i="6"/>
  <c r="T68" i="6"/>
  <c r="R78" i="6"/>
  <c r="N60" i="6"/>
  <c r="L39" i="4"/>
  <c r="L22" i="4"/>
  <c r="H20" i="4"/>
  <c r="H35" i="4"/>
  <c r="N23" i="4"/>
  <c r="J20" i="4"/>
  <c r="L26" i="4"/>
  <c r="R6" i="4"/>
  <c r="F79" i="6"/>
  <c r="F88" i="6"/>
  <c r="F68" i="6"/>
  <c r="F48" i="6"/>
  <c r="R72" i="6"/>
  <c r="F52" i="6"/>
  <c r="F69" i="6"/>
  <c r="H51" i="6"/>
  <c r="F72" i="6"/>
  <c r="H70" i="6"/>
  <c r="F75" i="6"/>
  <c r="L73" i="6"/>
  <c r="F67" i="6"/>
  <c r="H69" i="6"/>
  <c r="F59" i="6"/>
  <c r="N63" i="6"/>
  <c r="J70" i="6"/>
  <c r="H83" i="6"/>
  <c r="F82" i="6"/>
  <c r="R77" i="6"/>
  <c r="H59" i="6"/>
  <c r="J69" i="6"/>
  <c r="F70" i="6"/>
  <c r="J56" i="6"/>
  <c r="H86" i="6"/>
  <c r="F86" i="6"/>
  <c r="H74" i="6"/>
  <c r="F78" i="6"/>
  <c r="H75" i="6"/>
  <c r="F46" i="6"/>
  <c r="L68" i="6"/>
  <c r="H57" i="6"/>
  <c r="H46" i="6"/>
  <c r="F74" i="6"/>
  <c r="N84" i="6"/>
  <c r="N79" i="6"/>
  <c r="N58" i="6"/>
  <c r="L89" i="6"/>
  <c r="R84" i="6"/>
  <c r="L49" i="6"/>
  <c r="P84" i="6"/>
  <c r="R57" i="6"/>
  <c r="P64" i="6"/>
  <c r="F64" i="6"/>
  <c r="H64" i="6"/>
  <c r="P67" i="6"/>
  <c r="T76" i="6"/>
  <c r="R87" i="6"/>
  <c r="R47" i="6"/>
  <c r="R74" i="6"/>
  <c r="R19" i="5"/>
  <c r="P35" i="5"/>
  <c r="J31" i="5"/>
  <c r="J15" i="5"/>
  <c r="H37" i="5"/>
  <c r="L31" i="5"/>
  <c r="H15" i="5"/>
  <c r="F37" i="5"/>
  <c r="F15" i="5"/>
  <c r="H5" i="4"/>
  <c r="T31" i="4"/>
  <c r="F6" i="4"/>
  <c r="F11" i="6"/>
  <c r="J31" i="6"/>
  <c r="H32" i="6"/>
  <c r="P22" i="6"/>
  <c r="H11" i="6"/>
  <c r="J15" i="6"/>
  <c r="N5" i="6"/>
  <c r="L7" i="6"/>
  <c r="N7" i="6"/>
  <c r="P4" i="6"/>
  <c r="J8" i="6"/>
  <c r="P26" i="6"/>
  <c r="R8" i="6"/>
  <c r="P6" i="4"/>
  <c r="T17" i="6"/>
  <c r="P57" i="6"/>
  <c r="L70" i="6"/>
  <c r="J64" i="6"/>
  <c r="J61" i="6"/>
  <c r="L46" i="6"/>
  <c r="H63" i="6"/>
  <c r="L86" i="6"/>
  <c r="J54" i="6"/>
  <c r="J58" i="6"/>
  <c r="J60" i="6"/>
  <c r="L69" i="6"/>
  <c r="J81" i="6"/>
  <c r="L81" i="6"/>
  <c r="L71" i="6"/>
  <c r="J72" i="6"/>
  <c r="J84" i="6"/>
  <c r="N81" i="6"/>
  <c r="J83" i="6"/>
  <c r="L84" i="6"/>
  <c r="J78" i="6"/>
  <c r="H84" i="6"/>
  <c r="J53" i="6"/>
  <c r="L63" i="6"/>
  <c r="P75" i="6"/>
  <c r="N11" i="6"/>
  <c r="J30" i="6"/>
  <c r="J37" i="6"/>
  <c r="P11" i="6"/>
  <c r="H41" i="6"/>
  <c r="J41" i="6"/>
  <c r="N21" i="6"/>
  <c r="P24" i="6"/>
  <c r="H16" i="5"/>
  <c r="H6" i="4"/>
  <c r="H34" i="4"/>
  <c r="P10" i="4"/>
  <c r="R14" i="4"/>
  <c r="L3" i="5"/>
  <c r="N39" i="5"/>
  <c r="T4" i="5"/>
  <c r="J38" i="6"/>
  <c r="F83" i="6"/>
  <c r="L57" i="6"/>
  <c r="P5" i="6"/>
  <c r="L8" i="6"/>
  <c r="L12" i="6"/>
  <c r="N14" i="5"/>
  <c r="N36" i="5"/>
  <c r="T35" i="5"/>
  <c r="P4" i="5"/>
  <c r="N77" i="6"/>
  <c r="N71" i="6"/>
  <c r="L77" i="6"/>
  <c r="N66" i="6"/>
  <c r="P71" i="6"/>
  <c r="L66" i="6"/>
  <c r="J57" i="6"/>
  <c r="T41" i="5"/>
  <c r="N10" i="5"/>
  <c r="N25" i="5"/>
  <c r="R6" i="5"/>
  <c r="H6" i="5"/>
  <c r="H7" i="5"/>
  <c r="N35" i="5"/>
  <c r="F7" i="5"/>
  <c r="T32" i="5"/>
  <c r="H27" i="5"/>
  <c r="J30" i="4"/>
  <c r="J14" i="4"/>
  <c r="H36" i="4"/>
  <c r="L30" i="4"/>
  <c r="L38" i="4"/>
  <c r="P3" i="4"/>
  <c r="N35" i="4"/>
  <c r="N3" i="4"/>
  <c r="R23" i="4"/>
  <c r="F13" i="4"/>
  <c r="L20" i="4"/>
  <c r="F81" i="6"/>
  <c r="T61" i="6"/>
  <c r="H81" i="6"/>
  <c r="H71" i="6"/>
  <c r="N55" i="6"/>
  <c r="H78" i="6"/>
  <c r="P54" i="6"/>
  <c r="R71" i="6"/>
  <c r="N46" i="6"/>
  <c r="N49" i="6"/>
  <c r="T57" i="6"/>
  <c r="N89" i="6"/>
  <c r="N86" i="6"/>
  <c r="L80" i="6"/>
  <c r="L21" i="5"/>
  <c r="P6" i="5"/>
  <c r="L15" i="5"/>
  <c r="P15" i="5"/>
  <c r="N15" i="5"/>
  <c r="N6" i="5"/>
  <c r="N21" i="5"/>
  <c r="L14" i="5"/>
  <c r="H20" i="5"/>
  <c r="J10" i="5"/>
  <c r="H31" i="5"/>
  <c r="H13" i="5"/>
  <c r="J40" i="5"/>
  <c r="N32" i="4"/>
  <c r="H4" i="4"/>
  <c r="P7" i="4"/>
  <c r="N7" i="4"/>
  <c r="J5" i="4"/>
  <c r="J4" i="4"/>
  <c r="T7" i="4"/>
  <c r="T23" i="4"/>
  <c r="R7" i="4"/>
  <c r="L17" i="6"/>
  <c r="J3" i="6"/>
  <c r="F14" i="4"/>
  <c r="L24" i="4"/>
  <c r="N13" i="4"/>
  <c r="L9" i="5"/>
  <c r="P3" i="5"/>
  <c r="P34" i="6"/>
  <c r="N82" i="6"/>
  <c r="H90" i="6"/>
  <c r="H88" i="6"/>
  <c r="J59" i="6"/>
  <c r="F90" i="6"/>
  <c r="H52" i="6"/>
  <c r="J46" i="6"/>
  <c r="H50" i="6"/>
  <c r="H48" i="6"/>
  <c r="L51" i="6"/>
  <c r="F50" i="6"/>
  <c r="J86" i="6"/>
  <c r="J47" i="6"/>
  <c r="J87" i="6"/>
  <c r="R88" i="6"/>
  <c r="R48" i="6"/>
  <c r="H73" i="6"/>
  <c r="L90" i="6"/>
  <c r="L50" i="6"/>
  <c r="J90" i="6"/>
  <c r="H77" i="6"/>
  <c r="J50" i="6"/>
  <c r="J77" i="6"/>
  <c r="L60" i="6"/>
  <c r="R54" i="6"/>
  <c r="P74" i="6"/>
  <c r="T55" i="6"/>
  <c r="N51" i="6"/>
  <c r="N68" i="6"/>
  <c r="N74" i="6"/>
  <c r="P55" i="6"/>
  <c r="R63" i="6"/>
  <c r="P51" i="6"/>
  <c r="T3" i="5"/>
  <c r="R4" i="5"/>
  <c r="F29" i="5"/>
  <c r="R41" i="5"/>
  <c r="R16" i="5"/>
  <c r="P16" i="5"/>
  <c r="N16" i="5"/>
  <c r="L25" i="5"/>
  <c r="L36" i="5"/>
  <c r="J20" i="5"/>
  <c r="H41" i="5"/>
  <c r="F27" i="5"/>
  <c r="F10" i="5"/>
  <c r="H4" i="5"/>
  <c r="H10" i="5"/>
  <c r="T15" i="4"/>
  <c r="J12" i="4"/>
  <c r="J25" i="4"/>
  <c r="N18" i="6"/>
  <c r="P18" i="6"/>
  <c r="T18" i="6"/>
  <c r="R9" i="6"/>
  <c r="P12" i="6"/>
  <c r="R19" i="6"/>
  <c r="Y105" i="3"/>
  <c r="L38" i="6"/>
  <c r="L30" i="6"/>
  <c r="J39" i="6"/>
  <c r="H40" i="6"/>
  <c r="N38" i="6"/>
  <c r="J5" i="6"/>
  <c r="J40" i="6"/>
  <c r="L24" i="6"/>
  <c r="L5" i="6"/>
  <c r="J32" i="6"/>
  <c r="L40" i="6"/>
  <c r="J36" i="6"/>
  <c r="H33" i="6"/>
  <c r="R17" i="6"/>
  <c r="P33" i="6"/>
  <c r="R12" i="6"/>
  <c r="F16" i="4"/>
  <c r="H9" i="4"/>
  <c r="H39" i="4"/>
  <c r="J32" i="4"/>
  <c r="N17" i="4"/>
  <c r="P18" i="4"/>
  <c r="R18" i="4"/>
  <c r="F4" i="5"/>
  <c r="H26" i="5"/>
  <c r="L10" i="5"/>
  <c r="P9" i="5"/>
  <c r="J26" i="6"/>
  <c r="F54" i="6"/>
  <c r="N78" i="6"/>
  <c r="F12" i="6"/>
  <c r="F28" i="6"/>
  <c r="H31" i="6"/>
  <c r="H3" i="6"/>
  <c r="P9" i="6"/>
  <c r="N8" i="6"/>
  <c r="T11" i="6"/>
  <c r="R11" i="6"/>
  <c r="J33" i="4"/>
  <c r="F16" i="5"/>
  <c r="H28" i="5"/>
  <c r="N41" i="5"/>
  <c r="H15" i="6"/>
  <c r="H29" i="6"/>
  <c r="J34" i="6"/>
  <c r="F21" i="6"/>
  <c r="H76" i="6"/>
  <c r="J88" i="6"/>
  <c r="P15" i="6"/>
  <c r="N6" i="4"/>
  <c r="F19" i="5"/>
  <c r="F36" i="5"/>
  <c r="R7" i="5"/>
  <c r="F4" i="6"/>
  <c r="F32" i="6"/>
  <c r="H34" i="6"/>
  <c r="J6" i="6"/>
  <c r="N16" i="6"/>
  <c r="N17" i="6"/>
  <c r="T4" i="6"/>
  <c r="T32" i="6"/>
  <c r="P16" i="4"/>
  <c r="F3" i="5"/>
  <c r="L27" i="5"/>
  <c r="F15" i="6"/>
  <c r="F8" i="6"/>
  <c r="H25" i="6"/>
  <c r="L31" i="6"/>
  <c r="L32" i="6"/>
  <c r="N40" i="6"/>
  <c r="R7" i="6"/>
  <c r="T22" i="6"/>
  <c r="H26" i="6"/>
  <c r="R38" i="6"/>
  <c r="L27" i="6"/>
  <c r="F38" i="4"/>
  <c r="H15" i="4"/>
  <c r="L17" i="4"/>
  <c r="F6" i="5"/>
  <c r="F23" i="5"/>
  <c r="F40" i="5"/>
  <c r="H35" i="5"/>
  <c r="F5" i="6"/>
  <c r="H6" i="6"/>
  <c r="L14" i="6"/>
  <c r="N26" i="6"/>
  <c r="P30" i="6"/>
  <c r="P36" i="6"/>
  <c r="T5" i="6"/>
  <c r="L74" i="6"/>
  <c r="N25" i="6"/>
  <c r="N23" i="6"/>
  <c r="F7" i="4"/>
  <c r="L18" i="4"/>
  <c r="H36" i="5"/>
  <c r="F23" i="6"/>
  <c r="J12" i="6"/>
  <c r="R16" i="6"/>
  <c r="F24" i="6"/>
  <c r="H30" i="6"/>
  <c r="H36" i="6"/>
  <c r="R40" i="6"/>
  <c r="F27" i="6"/>
  <c r="H38" i="6"/>
  <c r="J22" i="6"/>
  <c r="N36" i="6"/>
  <c r="T27" i="6"/>
  <c r="J48" i="6"/>
  <c r="L79" i="6"/>
  <c r="T82" i="6"/>
  <c r="L40" i="5"/>
  <c r="N29" i="5"/>
  <c r="H38" i="5"/>
  <c r="R32" i="5"/>
  <c r="T35" i="4"/>
  <c r="R26" i="4"/>
  <c r="P7" i="6"/>
  <c r="F22" i="6"/>
  <c r="N27" i="6"/>
  <c r="L36" i="6"/>
  <c r="N14" i="6"/>
  <c r="L9" i="6"/>
  <c r="L26" i="6"/>
  <c r="P8" i="6"/>
  <c r="J28" i="4"/>
  <c r="L5" i="4"/>
  <c r="L37" i="4"/>
  <c r="H40" i="5"/>
  <c r="H28" i="6"/>
  <c r="J14" i="6"/>
  <c r="N30" i="6"/>
  <c r="P13" i="6"/>
  <c r="F6" i="6"/>
  <c r="H8" i="6"/>
  <c r="F9" i="6"/>
  <c r="F26" i="6"/>
  <c r="F30" i="6"/>
  <c r="H5" i="6"/>
  <c r="F18" i="6"/>
  <c r="L6" i="6"/>
  <c r="J13" i="4"/>
  <c r="N31" i="4"/>
  <c r="F28" i="5"/>
  <c r="N37" i="5"/>
  <c r="N33" i="6"/>
  <c r="P14" i="6"/>
  <c r="R24" i="6"/>
  <c r="J74" i="6"/>
  <c r="J80" i="6"/>
  <c r="N29" i="6"/>
  <c r="R36" i="6"/>
  <c r="R39" i="6"/>
  <c r="N20" i="6"/>
  <c r="J25" i="6"/>
  <c r="F20" i="6"/>
  <c r="H23" i="6"/>
  <c r="N24" i="6"/>
  <c r="F25" i="6"/>
  <c r="F41" i="6"/>
  <c r="L16" i="6"/>
  <c r="P16" i="6"/>
  <c r="H25" i="5"/>
  <c r="F37" i="6"/>
  <c r="J23" i="6"/>
  <c r="N28" i="6"/>
  <c r="T84" i="6"/>
  <c r="W105" i="3"/>
  <c r="X105" i="3"/>
  <c r="AA105" i="3"/>
  <c r="U64" i="7" l="1"/>
  <c r="T10" i="7"/>
  <c r="R30" i="7"/>
  <c r="T37" i="7"/>
  <c r="T6" i="7"/>
  <c r="T21" i="7"/>
  <c r="P32" i="7"/>
  <c r="R10" i="7"/>
  <c r="P23" i="7"/>
  <c r="T19" i="7"/>
  <c r="U19" i="7" s="1"/>
  <c r="R29" i="7"/>
  <c r="N23" i="7"/>
  <c r="T31" i="7"/>
  <c r="R21" i="7"/>
  <c r="P33" i="7"/>
  <c r="T40" i="7"/>
  <c r="T32" i="7"/>
  <c r="T36" i="7"/>
  <c r="R33" i="7"/>
  <c r="P38" i="7"/>
  <c r="R23" i="7"/>
  <c r="J13" i="7"/>
  <c r="R37" i="7"/>
  <c r="T27" i="7"/>
  <c r="R9" i="7"/>
  <c r="R6" i="7"/>
  <c r="N40" i="7"/>
  <c r="R40" i="7"/>
  <c r="T38" i="7"/>
  <c r="T35" i="7"/>
  <c r="R34" i="7"/>
  <c r="T13" i="7"/>
  <c r="U13" i="7" s="1"/>
  <c r="T34" i="7"/>
  <c r="T23" i="7"/>
  <c r="P30" i="7"/>
  <c r="P29" i="7"/>
  <c r="T30" i="7"/>
  <c r="R36" i="7"/>
  <c r="R32" i="7"/>
  <c r="T39" i="7"/>
  <c r="U39" i="7" s="1"/>
  <c r="T29" i="7"/>
  <c r="R27" i="7"/>
  <c r="P9" i="7"/>
  <c r="T33" i="7"/>
  <c r="R38" i="7"/>
  <c r="R35" i="7"/>
  <c r="T22" i="7"/>
  <c r="U22" i="7" s="1"/>
  <c r="T9" i="7"/>
  <c r="R31" i="7"/>
  <c r="P40" i="7"/>
  <c r="T71" i="7"/>
  <c r="R74" i="7"/>
  <c r="R57" i="7"/>
  <c r="T56" i="7"/>
  <c r="R68" i="7"/>
  <c r="R62" i="7"/>
  <c r="R53" i="7"/>
  <c r="T83" i="7"/>
  <c r="T55" i="7"/>
  <c r="P52" i="7"/>
  <c r="N51" i="7"/>
  <c r="T72" i="7"/>
  <c r="T53" i="7"/>
  <c r="T59" i="7"/>
  <c r="R73" i="7"/>
  <c r="P82" i="7"/>
  <c r="R72" i="7"/>
  <c r="T52" i="7"/>
  <c r="R51" i="7"/>
  <c r="P70" i="7"/>
  <c r="T67" i="7"/>
  <c r="T82" i="7"/>
  <c r="T77" i="7"/>
  <c r="P57" i="7"/>
  <c r="R59" i="7"/>
  <c r="T70" i="7"/>
  <c r="T79" i="7"/>
  <c r="U79" i="7" s="1"/>
  <c r="T57" i="7"/>
  <c r="T54" i="7"/>
  <c r="R71" i="7"/>
  <c r="P74" i="7"/>
  <c r="T80" i="7"/>
  <c r="U80" i="7" s="1"/>
  <c r="R56" i="7"/>
  <c r="T74" i="7"/>
  <c r="R55" i="7"/>
  <c r="J67" i="7"/>
  <c r="T62" i="7"/>
  <c r="T68" i="7"/>
  <c r="N82" i="7"/>
  <c r="P71" i="7"/>
  <c r="R52" i="7"/>
  <c r="P51" i="7"/>
  <c r="T73" i="7"/>
  <c r="R82" i="7"/>
  <c r="R77" i="7"/>
  <c r="R54" i="7"/>
  <c r="T51" i="7"/>
  <c r="R70" i="7"/>
  <c r="P72" i="7"/>
  <c r="U65" i="7"/>
  <c r="U5" i="7"/>
  <c r="U78" i="7"/>
  <c r="U69" i="7"/>
  <c r="U76" i="7"/>
  <c r="U7" i="7"/>
  <c r="U41" i="7"/>
  <c r="U17" i="7"/>
  <c r="U84" i="7"/>
  <c r="U24" i="7"/>
  <c r="U88" i="6"/>
  <c r="U16" i="7"/>
  <c r="U11" i="7"/>
  <c r="U87" i="6"/>
  <c r="U15" i="7"/>
  <c r="U63" i="7"/>
  <c r="U25" i="7"/>
  <c r="U46" i="7"/>
  <c r="U60" i="7"/>
  <c r="U49" i="7"/>
  <c r="U81" i="7"/>
  <c r="U75" i="7"/>
  <c r="U61" i="7"/>
  <c r="U18" i="7"/>
  <c r="U50" i="7"/>
  <c r="U26" i="7"/>
  <c r="U3" i="7"/>
  <c r="U12" i="7"/>
  <c r="U14" i="7"/>
  <c r="U4" i="7"/>
  <c r="U58" i="7"/>
  <c r="T78" i="6"/>
  <c r="U78" i="6" s="1"/>
  <c r="T83" i="6"/>
  <c r="U83" i="6" s="1"/>
  <c r="R69" i="6"/>
  <c r="P49" i="6"/>
  <c r="T80" i="6"/>
  <c r="T46" i="6"/>
  <c r="R75" i="6"/>
  <c r="U83" i="7"/>
  <c r="T60" i="6"/>
  <c r="T66" i="6"/>
  <c r="T56" i="6"/>
  <c r="T52" i="6"/>
  <c r="T89" i="6"/>
  <c r="T73" i="6"/>
  <c r="T63" i="6"/>
  <c r="R70" i="6"/>
  <c r="N80" i="6"/>
  <c r="R89" i="6"/>
  <c r="T69" i="6"/>
  <c r="R60" i="6"/>
  <c r="R66" i="6"/>
  <c r="P70" i="6"/>
  <c r="P89" i="6"/>
  <c r="R56" i="6"/>
  <c r="R52" i="6"/>
  <c r="P60" i="6"/>
  <c r="U53" i="7"/>
  <c r="R80" i="6"/>
  <c r="R90" i="6"/>
  <c r="R86" i="6"/>
  <c r="R64" i="6"/>
  <c r="T77" i="6"/>
  <c r="R79" i="6"/>
  <c r="T51" i="6"/>
  <c r="P62" i="6"/>
  <c r="R49" i="6"/>
  <c r="T62" i="6"/>
  <c r="T75" i="6"/>
  <c r="R51" i="6"/>
  <c r="P79" i="6"/>
  <c r="N56" i="6"/>
  <c r="J63" i="6"/>
  <c r="T50" i="6"/>
  <c r="R62" i="6"/>
  <c r="P80" i="6"/>
  <c r="T59" i="6"/>
  <c r="R73" i="6"/>
  <c r="T64" i="6"/>
  <c r="R46" i="6"/>
  <c r="T49" i="6"/>
  <c r="R50" i="6"/>
  <c r="T90" i="6"/>
  <c r="T86" i="6"/>
  <c r="T79" i="6"/>
  <c r="T70" i="6"/>
  <c r="R59" i="6"/>
  <c r="P56" i="6"/>
  <c r="P69" i="6"/>
  <c r="U28" i="7"/>
  <c r="T19" i="4"/>
  <c r="P17" i="4"/>
  <c r="R38" i="4"/>
  <c r="R21" i="4"/>
  <c r="T32" i="4"/>
  <c r="R37" i="4"/>
  <c r="R20" i="4"/>
  <c r="P25" i="4"/>
  <c r="T14" i="4"/>
  <c r="U14" i="4" s="1"/>
  <c r="R36" i="4"/>
  <c r="R19" i="4"/>
  <c r="P24" i="4"/>
  <c r="T13" i="4"/>
  <c r="T30" i="4"/>
  <c r="T29" i="4"/>
  <c r="T28" i="4"/>
  <c r="T11" i="4"/>
  <c r="P38" i="4"/>
  <c r="P21" i="4"/>
  <c r="T27" i="4"/>
  <c r="T10" i="4"/>
  <c r="U10" i="4" s="1"/>
  <c r="R32" i="4"/>
  <c r="P37" i="4"/>
  <c r="T24" i="4"/>
  <c r="R29" i="4"/>
  <c r="R28" i="4"/>
  <c r="R11" i="4"/>
  <c r="R27" i="4"/>
  <c r="R9" i="4"/>
  <c r="N37" i="4"/>
  <c r="T37" i="4"/>
  <c r="T20" i="4"/>
  <c r="R24" i="4"/>
  <c r="T36" i="4"/>
  <c r="T18" i="4"/>
  <c r="P11" i="4"/>
  <c r="T38" i="4"/>
  <c r="R17" i="4"/>
  <c r="T26" i="4"/>
  <c r="U26" i="4" s="1"/>
  <c r="R13" i="4"/>
  <c r="T25" i="4"/>
  <c r="T21" i="4"/>
  <c r="T17" i="4"/>
  <c r="T9" i="4"/>
  <c r="J18" i="4"/>
  <c r="P27" i="4"/>
  <c r="N25" i="4"/>
  <c r="R30" i="4"/>
  <c r="R25" i="4"/>
  <c r="U8" i="7"/>
  <c r="U48" i="7"/>
  <c r="U47" i="7"/>
  <c r="T24" i="6"/>
  <c r="R35" i="6"/>
  <c r="R13" i="6"/>
  <c r="T6" i="6"/>
  <c r="R28" i="6"/>
  <c r="P23" i="6"/>
  <c r="R37" i="6"/>
  <c r="T29" i="6"/>
  <c r="T25" i="6"/>
  <c r="T3" i="6"/>
  <c r="T34" i="6"/>
  <c r="R6" i="6"/>
  <c r="T37" i="6"/>
  <c r="R20" i="6"/>
  <c r="P3" i="6"/>
  <c r="P31" i="6"/>
  <c r="T36" i="6"/>
  <c r="U36" i="6" s="1"/>
  <c r="T35" i="6"/>
  <c r="R29" i="6"/>
  <c r="R23" i="6"/>
  <c r="R3" i="6"/>
  <c r="T20" i="6"/>
  <c r="R14" i="6"/>
  <c r="N35" i="6"/>
  <c r="T23" i="6"/>
  <c r="P37" i="6"/>
  <c r="R15" i="6"/>
  <c r="T14" i="6"/>
  <c r="T16" i="6"/>
  <c r="U16" i="6" s="1"/>
  <c r="R21" i="6"/>
  <c r="P6" i="6"/>
  <c r="T15" i="6"/>
  <c r="R10" i="6"/>
  <c r="T21" i="6"/>
  <c r="T31" i="6"/>
  <c r="R33" i="6"/>
  <c r="P25" i="6"/>
  <c r="N3" i="6"/>
  <c r="T10" i="6"/>
  <c r="T13" i="6"/>
  <c r="T28" i="6"/>
  <c r="R25" i="6"/>
  <c r="P35" i="6"/>
  <c r="J24" i="6"/>
  <c r="T33" i="6"/>
  <c r="T39" i="6"/>
  <c r="U39" i="6" s="1"/>
  <c r="R34" i="6"/>
  <c r="R31" i="6"/>
  <c r="P29" i="6"/>
  <c r="T27" i="5"/>
  <c r="U27" i="5" s="1"/>
  <c r="T11" i="5"/>
  <c r="U11" i="5" s="1"/>
  <c r="T30" i="5"/>
  <c r="P26" i="5"/>
  <c r="T28" i="5"/>
  <c r="T26" i="5"/>
  <c r="P39" i="5"/>
  <c r="T25" i="5"/>
  <c r="R31" i="5"/>
  <c r="P38" i="5"/>
  <c r="P22" i="5"/>
  <c r="T20" i="5"/>
  <c r="R39" i="5"/>
  <c r="R20" i="5"/>
  <c r="P18" i="5"/>
  <c r="N38" i="5"/>
  <c r="T19" i="5"/>
  <c r="R38" i="5"/>
  <c r="R18" i="5"/>
  <c r="J19" i="5"/>
  <c r="T39" i="5"/>
  <c r="T18" i="5"/>
  <c r="R37" i="5"/>
  <c r="T38" i="5"/>
  <c r="R14" i="5"/>
  <c r="T37" i="5"/>
  <c r="T15" i="5"/>
  <c r="U15" i="5" s="1"/>
  <c r="R33" i="5"/>
  <c r="R12" i="5"/>
  <c r="T14" i="5"/>
  <c r="R30" i="5"/>
  <c r="P12" i="5"/>
  <c r="T33" i="5"/>
  <c r="T10" i="5"/>
  <c r="R28" i="5"/>
  <c r="P28" i="5"/>
  <c r="N26" i="5"/>
  <c r="T31" i="5"/>
  <c r="R26" i="5"/>
  <c r="T29" i="5"/>
  <c r="R25" i="5"/>
  <c r="P25" i="5"/>
  <c r="T22" i="5"/>
  <c r="R22" i="5"/>
  <c r="T21" i="5"/>
  <c r="T12" i="5"/>
  <c r="R29" i="5"/>
  <c r="R21" i="5"/>
  <c r="R10" i="5"/>
  <c r="U20" i="7"/>
  <c r="U66" i="7"/>
  <c r="U47" i="6"/>
  <c r="U30" i="6"/>
  <c r="U19" i="6"/>
  <c r="U18" i="6"/>
  <c r="U61" i="6"/>
  <c r="U41" i="6"/>
  <c r="U17" i="6"/>
  <c r="U12" i="6"/>
  <c r="U38" i="6"/>
  <c r="U54" i="6"/>
  <c r="U40" i="6"/>
  <c r="U81" i="6"/>
  <c r="U84" i="6"/>
  <c r="U27" i="6"/>
  <c r="U65" i="6"/>
  <c r="U74" i="6"/>
  <c r="U58" i="6"/>
  <c r="U9" i="6"/>
  <c r="U82" i="6"/>
  <c r="U71" i="6"/>
  <c r="U7" i="6"/>
  <c r="U32" i="6"/>
  <c r="U76" i="6"/>
  <c r="U55" i="6"/>
  <c r="U48" i="6"/>
  <c r="U11" i="6"/>
  <c r="U26" i="6"/>
  <c r="U57" i="6"/>
  <c r="U5" i="6"/>
  <c r="U22" i="6"/>
  <c r="U8" i="6"/>
  <c r="U67" i="6"/>
  <c r="U77" i="6"/>
  <c r="U68" i="6"/>
  <c r="U53" i="6"/>
  <c r="U4" i="6"/>
  <c r="U72" i="6"/>
  <c r="U12" i="4"/>
  <c r="U24" i="5"/>
  <c r="U9" i="5"/>
  <c r="U17" i="5"/>
  <c r="U33" i="4"/>
  <c r="U3" i="5"/>
  <c r="U16" i="5"/>
  <c r="U4" i="4"/>
  <c r="U34" i="5"/>
  <c r="U36" i="5"/>
  <c r="U5" i="4"/>
  <c r="U40" i="5"/>
  <c r="U23" i="5"/>
  <c r="U8" i="5"/>
  <c r="U3" i="4"/>
  <c r="U39" i="4"/>
  <c r="U6" i="4"/>
  <c r="U5" i="5"/>
  <c r="U35" i="4"/>
  <c r="U35" i="5"/>
  <c r="U34" i="4"/>
  <c r="U4" i="5"/>
  <c r="U7" i="5"/>
  <c r="U16" i="4"/>
  <c r="U23" i="4"/>
  <c r="U13" i="5"/>
  <c r="U2" i="4"/>
  <c r="U41" i="5"/>
  <c r="U40" i="4"/>
  <c r="U22" i="4"/>
  <c r="U8" i="4"/>
  <c r="U32" i="5"/>
  <c r="U7" i="4"/>
  <c r="U31" i="4"/>
  <c r="U15" i="4"/>
  <c r="U6" i="5"/>
  <c r="U73" i="7" l="1"/>
  <c r="U71" i="7"/>
  <c r="U6" i="7"/>
  <c r="U56" i="7"/>
  <c r="U21" i="7"/>
  <c r="U55" i="7"/>
  <c r="U37" i="7"/>
  <c r="U9" i="7"/>
  <c r="U10" i="7"/>
  <c r="U29" i="7"/>
  <c r="U59" i="7"/>
  <c r="U30" i="7"/>
  <c r="U36" i="7"/>
  <c r="U35" i="7"/>
  <c r="U67" i="7"/>
  <c r="U77" i="7"/>
  <c r="U33" i="7"/>
  <c r="U32" i="7"/>
  <c r="U74" i="7"/>
  <c r="U90" i="6"/>
  <c r="U40" i="7"/>
  <c r="U57" i="7"/>
  <c r="U54" i="7"/>
  <c r="U23" i="7"/>
  <c r="U34" i="7"/>
  <c r="U68" i="7"/>
  <c r="U51" i="7"/>
  <c r="U86" i="7" s="1"/>
  <c r="U52" i="7"/>
  <c r="U70" i="7"/>
  <c r="U31" i="7"/>
  <c r="U82" i="7"/>
  <c r="U72" i="7"/>
  <c r="U27" i="7"/>
  <c r="U38" i="7"/>
  <c r="U62" i="7"/>
  <c r="U86" i="6"/>
  <c r="U89" i="6"/>
  <c r="U63" i="6"/>
  <c r="U14" i="6"/>
  <c r="U50" i="6"/>
  <c r="U66" i="6"/>
  <c r="U10" i="6"/>
  <c r="U62" i="6"/>
  <c r="U31" i="6"/>
  <c r="U6" i="6"/>
  <c r="U18" i="4"/>
  <c r="U75" i="6"/>
  <c r="U33" i="6"/>
  <c r="U79" i="6"/>
  <c r="U51" i="6"/>
  <c r="U69" i="6"/>
  <c r="U64" i="6"/>
  <c r="U60" i="6"/>
  <c r="U46" i="6"/>
  <c r="U59" i="6"/>
  <c r="U21" i="6"/>
  <c r="U52" i="6"/>
  <c r="U73" i="6"/>
  <c r="U56" i="6"/>
  <c r="U37" i="6"/>
  <c r="U25" i="6"/>
  <c r="U35" i="6"/>
  <c r="U3" i="6"/>
  <c r="U24" i="6"/>
  <c r="U20" i="6"/>
  <c r="U34" i="6"/>
  <c r="U80" i="6"/>
  <c r="U29" i="6"/>
  <c r="U21" i="5"/>
  <c r="U49" i="6"/>
  <c r="U13" i="6"/>
  <c r="U28" i="6"/>
  <c r="U70" i="6"/>
  <c r="U15" i="6"/>
  <c r="U23" i="6"/>
  <c r="U30" i="4"/>
  <c r="U30" i="5"/>
  <c r="U19" i="5"/>
  <c r="U10" i="5"/>
  <c r="U25" i="4"/>
  <c r="U19" i="4"/>
  <c r="U39" i="5"/>
  <c r="U38" i="4"/>
  <c r="U33" i="5"/>
  <c r="U32" i="4"/>
  <c r="U24" i="4"/>
  <c r="U36" i="4"/>
  <c r="U14" i="5"/>
  <c r="U27" i="4"/>
  <c r="U37" i="4"/>
  <c r="U28" i="4"/>
  <c r="U28" i="5"/>
  <c r="U25" i="5"/>
  <c r="U26" i="5"/>
  <c r="U21" i="4"/>
  <c r="U37" i="5"/>
  <c r="U20" i="4"/>
  <c r="U9" i="4"/>
  <c r="U13" i="4"/>
  <c r="U18" i="5"/>
  <c r="U29" i="4"/>
  <c r="U12" i="5"/>
  <c r="U38" i="5"/>
  <c r="U31" i="5"/>
  <c r="U17" i="4"/>
  <c r="U29" i="5"/>
  <c r="U20" i="5"/>
  <c r="U22" i="5"/>
  <c r="U11" i="4"/>
  <c r="U4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<sst xmlns="http://schemas.openxmlformats.org/spreadsheetml/2006/main" count="4323" uniqueCount="278">
  <si>
    <t>Team #</t>
  </si>
  <si>
    <t>Team</t>
  </si>
  <si>
    <t>Captain</t>
  </si>
  <si>
    <t>Initials</t>
  </si>
  <si>
    <t>Golfer 1</t>
  </si>
  <si>
    <t>Golfer 2</t>
  </si>
  <si>
    <t>Golfer 3</t>
  </si>
  <si>
    <t>Golfer 4</t>
  </si>
  <si>
    <t>Golfer 5</t>
  </si>
  <si>
    <t>Golfer 6</t>
  </si>
  <si>
    <t>Golfer 7</t>
  </si>
  <si>
    <t>Golfer 8</t>
  </si>
  <si>
    <t>Robbie Donahoe</t>
  </si>
  <si>
    <t>RD</t>
  </si>
  <si>
    <t>Joaquin Niemann</t>
  </si>
  <si>
    <t>Ludvig Aberg</t>
  </si>
  <si>
    <t>Keegan Bradley</t>
  </si>
  <si>
    <t>Green Machine</t>
  </si>
  <si>
    <t>Laura Green</t>
  </si>
  <si>
    <t>LG</t>
  </si>
  <si>
    <t>Brooks Koepka</t>
  </si>
  <si>
    <t>Will Zalatoris</t>
  </si>
  <si>
    <t>Tony Finau</t>
  </si>
  <si>
    <t>Cameron Smith</t>
  </si>
  <si>
    <t>Cameron Young</t>
  </si>
  <si>
    <t>Max Homa</t>
  </si>
  <si>
    <t>No Player</t>
  </si>
  <si>
    <t>Xander Schauffele</t>
  </si>
  <si>
    <t>Sahith Theegala</t>
  </si>
  <si>
    <t>Patrick Reed</t>
  </si>
  <si>
    <t>Sergio Garcia</t>
  </si>
  <si>
    <t>Nick Taylor</t>
  </si>
  <si>
    <t>Viktor Hovland</t>
  </si>
  <si>
    <t>Justin Thomas</t>
  </si>
  <si>
    <t>Collin Morikawa</t>
  </si>
  <si>
    <t>Caroline Stone</t>
  </si>
  <si>
    <t>CS</t>
  </si>
  <si>
    <t>Hideki Matsuyama</t>
  </si>
  <si>
    <t>Corey Conners</t>
  </si>
  <si>
    <t>Tucker Donahoe</t>
  </si>
  <si>
    <t>TD</t>
  </si>
  <si>
    <t>Russell Henley</t>
  </si>
  <si>
    <t>Akshay Bhatia</t>
  </si>
  <si>
    <t>Rory McIlroy</t>
  </si>
  <si>
    <t>Patrick Cantlay</t>
  </si>
  <si>
    <t>Chris Floyd</t>
  </si>
  <si>
    <t>CF</t>
  </si>
  <si>
    <t>Bryson DeChambeau</t>
  </si>
  <si>
    <t>Jason Vaillancourt</t>
  </si>
  <si>
    <t>JV</t>
  </si>
  <si>
    <t>Jason Day</t>
  </si>
  <si>
    <t>Justin Rose</t>
  </si>
  <si>
    <t>Kim Arney</t>
  </si>
  <si>
    <t>KA</t>
  </si>
  <si>
    <t>Shane Lowry</t>
  </si>
  <si>
    <t>Brian Harman</t>
  </si>
  <si>
    <t>Jon Schreiber</t>
  </si>
  <si>
    <t>JS</t>
  </si>
  <si>
    <t>Tommy Fleetwood</t>
  </si>
  <si>
    <t>Rob Schoen</t>
  </si>
  <si>
    <t>RS</t>
  </si>
  <si>
    <t>Adam Scott</t>
  </si>
  <si>
    <t>Jacob Norris</t>
  </si>
  <si>
    <t>JN</t>
  </si>
  <si>
    <t>Phil Mickelson</t>
  </si>
  <si>
    <t>Matt LaPlant</t>
  </si>
  <si>
    <t>ML</t>
  </si>
  <si>
    <t>Mike Wands</t>
  </si>
  <si>
    <t>MW</t>
  </si>
  <si>
    <t>Jon Rahm</t>
  </si>
  <si>
    <t>Peter Sharpe</t>
  </si>
  <si>
    <t>PS</t>
  </si>
  <si>
    <t>Ryan Nemes</t>
  </si>
  <si>
    <t>RN</t>
  </si>
  <si>
    <t>Jordan Spieth</t>
  </si>
  <si>
    <t>Min Woo Lee</t>
  </si>
  <si>
    <t>Nick Dunlap</t>
  </si>
  <si>
    <t>Dan Riordan</t>
  </si>
  <si>
    <t>DR</t>
  </si>
  <si>
    <t>Paul Castergine</t>
  </si>
  <si>
    <t>Brett Goldstein</t>
  </si>
  <si>
    <t>BG</t>
  </si>
  <si>
    <t>Dennis Follmer</t>
  </si>
  <si>
    <t>DF</t>
  </si>
  <si>
    <t>Dan Lahrman</t>
  </si>
  <si>
    <t>DL</t>
  </si>
  <si>
    <t>Jeff Silverman</t>
  </si>
  <si>
    <t>BM</t>
  </si>
  <si>
    <t>Bubba Watson</t>
  </si>
  <si>
    <t>Shep Perkins</t>
  </si>
  <si>
    <t>SP</t>
  </si>
  <si>
    <t>Hello Friends</t>
  </si>
  <si>
    <t>Norm Boucher</t>
  </si>
  <si>
    <t>NB</t>
  </si>
  <si>
    <t>Sepp Straka</t>
  </si>
  <si>
    <t>Nick Hooten</t>
  </si>
  <si>
    <t>NH</t>
  </si>
  <si>
    <t>Stephan Jaeger</t>
  </si>
  <si>
    <t>Bill Kohli</t>
  </si>
  <si>
    <t>BK</t>
  </si>
  <si>
    <t>JF</t>
  </si>
  <si>
    <t>Often wrong but never in doubt</t>
  </si>
  <si>
    <t>Scott Sipple</t>
  </si>
  <si>
    <t>SS</t>
  </si>
  <si>
    <t>Just when I thought I was out, they pull me back in</t>
  </si>
  <si>
    <t>PC</t>
  </si>
  <si>
    <t>Subpar Effort</t>
  </si>
  <si>
    <t>Thad Williams</t>
  </si>
  <si>
    <t>TW</t>
  </si>
  <si>
    <t>Minnesota Miracle</t>
  </si>
  <si>
    <t>Play the fade</t>
  </si>
  <si>
    <t>Fire Nico</t>
  </si>
  <si>
    <t>Gold Jacket, Green Jacket…</t>
  </si>
  <si>
    <t>LaPlant</t>
  </si>
  <si>
    <t>Henley and the Double Eagles</t>
  </si>
  <si>
    <t>Adrian Chan</t>
  </si>
  <si>
    <t>AC</t>
  </si>
  <si>
    <t>Kathryn Michalewicz</t>
  </si>
  <si>
    <t>KM</t>
  </si>
  <si>
    <t>The Long Irons</t>
  </si>
  <si>
    <t>Every day in Moving Day</t>
  </si>
  <si>
    <t>James Fetch</t>
  </si>
  <si>
    <t>Lafferty, Daniel</t>
  </si>
  <si>
    <t>Brad McLaughlin</t>
  </si>
  <si>
    <t>Five Dollars Guaranteed</t>
  </si>
  <si>
    <t>District Five</t>
  </si>
  <si>
    <t>Ludvig Levered 2x Daily</t>
  </si>
  <si>
    <t>All in on Collin</t>
  </si>
  <si>
    <t>Munis never sleep</t>
  </si>
  <si>
    <t>Paul Drury</t>
  </si>
  <si>
    <t>PD</t>
  </si>
  <si>
    <t>Kangaroo Took My Ball</t>
  </si>
  <si>
    <t>ZWill #1</t>
  </si>
  <si>
    <t>ZWill #2</t>
  </si>
  <si>
    <t>Zach Williams</t>
  </si>
  <si>
    <t>ZW</t>
  </si>
  <si>
    <t>WZ</t>
  </si>
  <si>
    <t>Looks good on you though!</t>
  </si>
  <si>
    <t>Scattershot</t>
  </si>
  <si>
    <t>TheProperLuncher</t>
  </si>
  <si>
    <t>TheProperLuncher2</t>
  </si>
  <si>
    <t>Charles Ouellett</t>
  </si>
  <si>
    <t>CO</t>
  </si>
  <si>
    <t>OC</t>
  </si>
  <si>
    <t>Let Him Cook</t>
  </si>
  <si>
    <t>The Tremendous Slouches</t>
  </si>
  <si>
    <t>I Need A Pain Sponge</t>
  </si>
  <si>
    <t>Saving Silverman</t>
  </si>
  <si>
    <t>Mo Knows Golf</t>
  </si>
  <si>
    <t>MullinsDoubles</t>
  </si>
  <si>
    <t>Andy Mullins</t>
  </si>
  <si>
    <t>AM</t>
  </si>
  <si>
    <t>Dilly Dilly</t>
  </si>
  <si>
    <t>O.B.</t>
  </si>
  <si>
    <t>Tom Nelson</t>
  </si>
  <si>
    <t>TN</t>
  </si>
  <si>
    <t>Brian Kelley</t>
  </si>
  <si>
    <t>Jeff Aaron</t>
  </si>
  <si>
    <t>JA</t>
  </si>
  <si>
    <t>Ty Webb's illegitimate stepchild</t>
  </si>
  <si>
    <t>Fairway Ninjas</t>
  </si>
  <si>
    <t>The Chipinskis</t>
  </si>
  <si>
    <t>The Angry Leprechauns</t>
  </si>
  <si>
    <t>The Nemeinators</t>
  </si>
  <si>
    <t>Tyrrell Hatton</t>
  </si>
  <si>
    <t>Robert MacIntyre</t>
  </si>
  <si>
    <t>Daniel Berger</t>
  </si>
  <si>
    <t>J. J. Spaun</t>
  </si>
  <si>
    <t>Billy Horschel</t>
  </si>
  <si>
    <t>Byeong Hun An</t>
  </si>
  <si>
    <t>Maverick McNealy</t>
  </si>
  <si>
    <t>Lucas Glover</t>
  </si>
  <si>
    <t>Nicolai Højgaard</t>
  </si>
  <si>
    <t>Harris English</t>
  </si>
  <si>
    <t>Laurie Canter</t>
  </si>
  <si>
    <t>Max Greyserman</t>
  </si>
  <si>
    <t>Tom Hoge</t>
  </si>
  <si>
    <t>Jhonattan Vegas</t>
  </si>
  <si>
    <t>Matthieu Pavon</t>
  </si>
  <si>
    <t>Brian Campbell</t>
  </si>
  <si>
    <t>Zach Johnson</t>
  </si>
  <si>
    <t>POS</t>
  </si>
  <si>
    <t>PLAYER</t>
  </si>
  <si>
    <t>SCORE</t>
  </si>
  <si>
    <t>TODAY</t>
  </si>
  <si>
    <t>THRU</t>
  </si>
  <si>
    <t>R1</t>
  </si>
  <si>
    <t>R2</t>
  </si>
  <si>
    <t>R3</t>
  </si>
  <si>
    <t>R4</t>
  </si>
  <si>
    <t>TOT</t>
  </si>
  <si>
    <t>F</t>
  </si>
  <si>
    <t>Scottie Scheffler</t>
  </si>
  <si>
    <t>Aaron Rai</t>
  </si>
  <si>
    <t>Denny McCarthy</t>
  </si>
  <si>
    <t>Matt Fitzpatrick</t>
  </si>
  <si>
    <t>Michael Kim</t>
  </si>
  <si>
    <t>Davis Thompson</t>
  </si>
  <si>
    <t>Fred Couples</t>
  </si>
  <si>
    <t>Matt McCarty</t>
  </si>
  <si>
    <t>Rasmus Højgaard</t>
  </si>
  <si>
    <t>E</t>
  </si>
  <si>
    <t>Joaquín Niemann</t>
  </si>
  <si>
    <t>Rafael Campos</t>
  </si>
  <si>
    <t>Adam Schenk</t>
  </si>
  <si>
    <t>Charl Schwartzel</t>
  </si>
  <si>
    <t>Sungjae Im</t>
  </si>
  <si>
    <t>Ludvig Åberg</t>
  </si>
  <si>
    <t>Wyndham Clark</t>
  </si>
  <si>
    <t>Davis Riley</t>
  </si>
  <si>
    <t>Nicolas Echavarria</t>
  </si>
  <si>
    <t>Tom Kim</t>
  </si>
  <si>
    <t>Cam Davis</t>
  </si>
  <si>
    <t>Justin Hastings (a)</t>
  </si>
  <si>
    <t>Sam Burns</t>
  </si>
  <si>
    <t>Bernhard Langer</t>
  </si>
  <si>
    <t>J.T. Poston</t>
  </si>
  <si>
    <t>Hiroshi Tai (a)</t>
  </si>
  <si>
    <t>J.J. Spaun</t>
  </si>
  <si>
    <t>Mike Weir</t>
  </si>
  <si>
    <t>Chris Kirk</t>
  </si>
  <si>
    <t>Danny Willett</t>
  </si>
  <si>
    <t>Austin Eckroat</t>
  </si>
  <si>
    <t>Evan Beck (a)</t>
  </si>
  <si>
    <t>Dustin Johnson</t>
  </si>
  <si>
    <t>Kevin Yu</t>
  </si>
  <si>
    <t>Joe Highsmith</t>
  </si>
  <si>
    <t>Jose Luis Ballester (a)</t>
  </si>
  <si>
    <t>Ángel Cabrera</t>
  </si>
  <si>
    <t>José María Olazábal</t>
  </si>
  <si>
    <t>Christiaan Bezuidenhout</t>
  </si>
  <si>
    <t>Taylor Pendrith</t>
  </si>
  <si>
    <t>Thomas Detry</t>
  </si>
  <si>
    <t>Patton Kizzire</t>
  </si>
  <si>
    <t>Noah Kent (a)</t>
  </si>
  <si>
    <t>Thriston Lawrence</t>
  </si>
  <si>
    <t>Code</t>
  </si>
  <si>
    <t>Golfer</t>
  </si>
  <si>
    <t>Cameron Davis</t>
  </si>
  <si>
    <t>Matt Mccarty</t>
  </si>
  <si>
    <t>Angel Cabrera</t>
  </si>
  <si>
    <t>Evan Beck</t>
  </si>
  <si>
    <t>Hiroshi Tai</t>
  </si>
  <si>
    <t>Justin Hastings</t>
  </si>
  <si>
    <t>Noah Kent</t>
  </si>
  <si>
    <t>Jose Maria Olazábal</t>
  </si>
  <si>
    <t>Jose Luis Ballester</t>
  </si>
  <si>
    <t>Every day is Moving Day</t>
  </si>
  <si>
    <t>-</t>
  </si>
  <si>
    <r>
      <t>The following players failed to make the cut at </t>
    </r>
    <r>
      <rPr>
        <b/>
        <sz val="12"/>
        <color rgb="FF6C6D6F"/>
        <rFont val="Arial"/>
        <family val="2"/>
      </rPr>
      <t>+2</t>
    </r>
  </si>
  <si>
    <t>CUT</t>
  </si>
  <si>
    <t>Round 2</t>
  </si>
  <si>
    <t>T14</t>
  </si>
  <si>
    <t>T21</t>
  </si>
  <si>
    <t>T42</t>
  </si>
  <si>
    <t>T52</t>
  </si>
  <si>
    <t>Total through 3 rounds</t>
  </si>
  <si>
    <t>Round 3</t>
  </si>
  <si>
    <t>Round 4</t>
  </si>
  <si>
    <t>odds</t>
  </si>
  <si>
    <t>probability</t>
  </si>
  <si>
    <t>double</t>
  </si>
  <si>
    <t>triple</t>
  </si>
  <si>
    <t>doubles</t>
  </si>
  <si>
    <t>triples</t>
  </si>
  <si>
    <t># golfers</t>
  </si>
  <si>
    <t>count</t>
  </si>
  <si>
    <t>T12</t>
  </si>
  <si>
    <t>T32</t>
  </si>
  <si>
    <t>T5</t>
  </si>
  <si>
    <t>T27</t>
  </si>
  <si>
    <t>T36</t>
  </si>
  <si>
    <t>T29</t>
  </si>
  <si>
    <t>T40</t>
  </si>
  <si>
    <t>T46</t>
  </si>
  <si>
    <t>Total through 4 rounds</t>
  </si>
  <si>
    <t>T1</t>
  </si>
  <si>
    <t>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</si>
</sst>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u/>
      <sz val="11"/>
      <color rgb="FF48494A"/>
      <name val="Arial"/>
      <family val="2"/>
    </font>
    <font>
      <sz val="12"/>
      <color rgb="FF6C6D6F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Daytona"/>
    </font>
    <font>
      <sz val="12"/>
      <color theme="1"/>
      <name val="Daytona"/>
    </font>
    <font>
      <sz val="12"/>
      <color rgb="FF000000"/>
      <name val="Daytona"/>
    </font>
    <font>
      <sz val="12"/>
      <color rgb="FF009944"/>
      <name val="Arial"/>
      <family val="2"/>
    </font>
    <font>
      <sz val="12"/>
      <color rgb="FFDD0000"/>
      <name val="Arial"/>
      <family val="2"/>
    </font>
    <font>
      <b/>
      <sz val="12"/>
      <color rgb="FF6C6D6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Alignment="1">
      <alignment horizontal="center"/>
    </xf>
    <xf numFmtId="0" fontId="0" fillId="0" borderId="0" xfId="0" applyAlignment="1">
      <alignment horizontal="left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vertical="center" wrapText="1"/>
    </xf>
    <xf numFmtId="0" fontId="8" fillId="5" borderId="0" xfId="0" applyFont="1" applyFill="1"/>
    <xf numFmtId="0" fontId="0" fillId="6" borderId="0" xfId="0" applyFill="1"/>
    <xf numFmtId="0" fontId="7" fillId="6" borderId="0" xfId="0" applyFont="1" applyFill="1"/>
    <xf numFmtId="0" fontId="9" fillId="6" borderId="0" xfId="0" applyFont="1" applyFill="1" applyAlignment="1">
      <alignment vertical="center" wrapText="1"/>
    </xf>
    <xf numFmtId="0" fontId="8" fillId="6" borderId="0" xfId="0" applyFont="1" applyFill="1"/>
    <xf numFmtId="1" fontId="2" fillId="3" borderId="4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0" fillId="0" borderId="0" xfId="0" applyNumberFormat="1"/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164" fontId="0" fillId="0" borderId="0" xfId="2" applyNumberFormat="1" applyFont="1"/>
    <xf numFmtId="2" fontId="0" fillId="0" borderId="0" xfId="2" applyNumberFormat="1" applyFont="1"/>
    <xf numFmtId="1" fontId="0" fillId="0" borderId="0" xfId="2" applyNumberFormat="1" applyFont="1"/>
    <xf numFmtId="10" fontId="0" fillId="0" borderId="0" xfId="2" applyNumberFormat="1" applyFont="1"/>
    <xf numFmtId="0" fontId="2" fillId="7" borderId="0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2" name="Picture 1" descr="England">
          <a:extLst>
            <a:ext uri="{FF2B5EF4-FFF2-40B4-BE49-F238E27FC236}">
              <a16:creationId xmlns:a16="http://schemas.microsoft.com/office/drawing/2014/main" id="{F41E1963-BAD2-A925-8D9F-8A405C8F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1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3" name="Picture 2" descr="Canada">
          <a:extLst>
            <a:ext uri="{FF2B5EF4-FFF2-40B4-BE49-F238E27FC236}">
              <a16:creationId xmlns:a16="http://schemas.microsoft.com/office/drawing/2014/main" id="{2FEC4EAD-7AAC-841A-6AA5-F4CB1E80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1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4" name="Picture 3" descr="United States">
          <a:extLst>
            <a:ext uri="{FF2B5EF4-FFF2-40B4-BE49-F238E27FC236}">
              <a16:creationId xmlns:a16="http://schemas.microsoft.com/office/drawing/2014/main" id="{418BF8F0-1E35-E638-7F9F-6A7AF0AF3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2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5" name="Picture 4" descr="England">
          <a:extLst>
            <a:ext uri="{FF2B5EF4-FFF2-40B4-BE49-F238E27FC236}">
              <a16:creationId xmlns:a16="http://schemas.microsoft.com/office/drawing/2014/main" id="{B59BB1A9-2C21-79E8-55C8-5F78C648E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2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6" name="Picture 5" descr="Northern Ireland">
          <a:extLst>
            <a:ext uri="{FF2B5EF4-FFF2-40B4-BE49-F238E27FC236}">
              <a16:creationId xmlns:a16="http://schemas.microsoft.com/office/drawing/2014/main" id="{6E912AEF-26DA-CFFA-96D1-EA4D1D6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7" name="Picture 6" descr="England">
          <a:extLst>
            <a:ext uri="{FF2B5EF4-FFF2-40B4-BE49-F238E27FC236}">
              <a16:creationId xmlns:a16="http://schemas.microsoft.com/office/drawing/2014/main" id="{46AF90EF-8E82-E8E5-09D7-217336A8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3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8" name="Picture 7" descr="United States">
          <a:extLst>
            <a:ext uri="{FF2B5EF4-FFF2-40B4-BE49-F238E27FC236}">
              <a16:creationId xmlns:a16="http://schemas.microsoft.com/office/drawing/2014/main" id="{F0427592-0600-B1F5-2A8D-483EFF57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93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9" name="Picture 8" descr="Australia">
          <a:extLst>
            <a:ext uri="{FF2B5EF4-FFF2-40B4-BE49-F238E27FC236}">
              <a16:creationId xmlns:a16="http://schemas.microsoft.com/office/drawing/2014/main" id="{B8226E49-6E69-A931-73CC-5EBF3CF9D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13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10" name="Picture 9" descr="United States">
          <a:extLst>
            <a:ext uri="{FF2B5EF4-FFF2-40B4-BE49-F238E27FC236}">
              <a16:creationId xmlns:a16="http://schemas.microsoft.com/office/drawing/2014/main" id="{1C714C47-5A36-687F-6B9A-FFBDC4BA4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34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11" name="Picture 10" descr="England">
          <a:extLst>
            <a:ext uri="{FF2B5EF4-FFF2-40B4-BE49-F238E27FC236}">
              <a16:creationId xmlns:a16="http://schemas.microsoft.com/office/drawing/2014/main" id="{0876A5DC-8904-68A6-8360-0B0A2729B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12" name="Picture 11" descr="Japan">
          <a:extLst>
            <a:ext uri="{FF2B5EF4-FFF2-40B4-BE49-F238E27FC236}">
              <a16:creationId xmlns:a16="http://schemas.microsoft.com/office/drawing/2014/main" id="{6C09D80A-6F4E-2286-B658-3DF5E1235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4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13" name="Picture 12" descr="United States">
          <a:extLst>
            <a:ext uri="{FF2B5EF4-FFF2-40B4-BE49-F238E27FC236}">
              <a16:creationId xmlns:a16="http://schemas.microsoft.com/office/drawing/2014/main" id="{22D180A8-7381-0C11-7FA5-AFFEC2E93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94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14" name="Picture 13" descr="United States">
          <a:extLst>
            <a:ext uri="{FF2B5EF4-FFF2-40B4-BE49-F238E27FC236}">
              <a16:creationId xmlns:a16="http://schemas.microsoft.com/office/drawing/2014/main" id="{D1C1A975-C519-95E4-DAA4-3B6FC1959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15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15" name="Picture 14" descr="Australia">
          <a:extLst>
            <a:ext uri="{FF2B5EF4-FFF2-40B4-BE49-F238E27FC236}">
              <a16:creationId xmlns:a16="http://schemas.microsoft.com/office/drawing/2014/main" id="{396BF7E2-B884-10E9-BB92-152885C4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5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16" name="Picture 15" descr="United States">
          <a:extLst>
            <a:ext uri="{FF2B5EF4-FFF2-40B4-BE49-F238E27FC236}">
              <a16:creationId xmlns:a16="http://schemas.microsoft.com/office/drawing/2014/main" id="{D936BC8B-2312-CF4E-DDB6-3945F642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17" name="Picture 16" descr="United States">
          <a:extLst>
            <a:ext uri="{FF2B5EF4-FFF2-40B4-BE49-F238E27FC236}">
              <a16:creationId xmlns:a16="http://schemas.microsoft.com/office/drawing/2014/main" id="{1445C7A6-5D18-46F3-1D09-0CE14592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76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18" name="Picture 17" descr="United States">
          <a:extLst>
            <a:ext uri="{FF2B5EF4-FFF2-40B4-BE49-F238E27FC236}">
              <a16:creationId xmlns:a16="http://schemas.microsoft.com/office/drawing/2014/main" id="{4892410F-3E49-38B8-0710-88942599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96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19" name="Picture 18" descr="United States">
          <a:extLst>
            <a:ext uri="{FF2B5EF4-FFF2-40B4-BE49-F238E27FC236}">
              <a16:creationId xmlns:a16="http://schemas.microsoft.com/office/drawing/2014/main" id="{37105635-8980-E41A-D8F3-F201E166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16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20" name="Picture 19" descr="Australia">
          <a:extLst>
            <a:ext uri="{FF2B5EF4-FFF2-40B4-BE49-F238E27FC236}">
              <a16:creationId xmlns:a16="http://schemas.microsoft.com/office/drawing/2014/main" id="{9CBD6BA2-4AE7-9671-2C1C-43E7B945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7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21" name="Picture 20" descr="United States">
          <a:extLst>
            <a:ext uri="{FF2B5EF4-FFF2-40B4-BE49-F238E27FC236}">
              <a16:creationId xmlns:a16="http://schemas.microsoft.com/office/drawing/2014/main" id="{E94B8F87-C2EC-B1A1-1E79-05022B096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22" name="Picture 21" descr="United States">
          <a:extLst>
            <a:ext uri="{FF2B5EF4-FFF2-40B4-BE49-F238E27FC236}">
              <a16:creationId xmlns:a16="http://schemas.microsoft.com/office/drawing/2014/main" id="{1D18DE6B-4577-C0FE-017D-C82D02BD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77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23" name="Picture 22" descr="United States">
          <a:extLst>
            <a:ext uri="{FF2B5EF4-FFF2-40B4-BE49-F238E27FC236}">
              <a16:creationId xmlns:a16="http://schemas.microsoft.com/office/drawing/2014/main" id="{CAC50AB1-04FE-8E00-9693-17BF81121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98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24" name="Picture 23" descr="United States">
          <a:extLst>
            <a:ext uri="{FF2B5EF4-FFF2-40B4-BE49-F238E27FC236}">
              <a16:creationId xmlns:a16="http://schemas.microsoft.com/office/drawing/2014/main" id="{1A6A0568-6308-1C14-DBA0-0CCD623A5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18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25" name="Picture 24" descr="United States">
          <a:extLst>
            <a:ext uri="{FF2B5EF4-FFF2-40B4-BE49-F238E27FC236}">
              <a16:creationId xmlns:a16="http://schemas.microsoft.com/office/drawing/2014/main" id="{40EFB0F3-5D62-F983-00A9-DF4F33A5A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8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26" name="Picture 25" descr="Denmark">
          <a:extLst>
            <a:ext uri="{FF2B5EF4-FFF2-40B4-BE49-F238E27FC236}">
              <a16:creationId xmlns:a16="http://schemas.microsoft.com/office/drawing/2014/main" id="{BB5847F3-70A1-B15A-4FEF-09095678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27" name="Picture 26" descr="Ireland">
          <a:extLst>
            <a:ext uri="{FF2B5EF4-FFF2-40B4-BE49-F238E27FC236}">
              <a16:creationId xmlns:a16="http://schemas.microsoft.com/office/drawing/2014/main" id="{7C91860A-F9EA-5F92-2A26-130848461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79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28" name="Picture 27" descr="United States">
          <a:extLst>
            <a:ext uri="{FF2B5EF4-FFF2-40B4-BE49-F238E27FC236}">
              <a16:creationId xmlns:a16="http://schemas.microsoft.com/office/drawing/2014/main" id="{DAC4C0B8-415B-6655-02E4-FAC26F0B4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99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29" name="Picture 28" descr="United States">
          <a:extLst>
            <a:ext uri="{FF2B5EF4-FFF2-40B4-BE49-F238E27FC236}">
              <a16:creationId xmlns:a16="http://schemas.microsoft.com/office/drawing/2014/main" id="{60448CC6-0D56-A964-7462-97AD1C49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20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30" name="Picture 29" descr="United States">
          <a:extLst>
            <a:ext uri="{FF2B5EF4-FFF2-40B4-BE49-F238E27FC236}">
              <a16:creationId xmlns:a16="http://schemas.microsoft.com/office/drawing/2014/main" id="{707FD4E5-2CEF-FE11-85D9-2FE5D929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40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31" name="Picture 30" descr="Germany">
          <a:extLst>
            <a:ext uri="{FF2B5EF4-FFF2-40B4-BE49-F238E27FC236}">
              <a16:creationId xmlns:a16="http://schemas.microsoft.com/office/drawing/2014/main" id="{7BE21623-77B7-18D7-DD92-9845EE49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32" name="Picture 31" descr="United States">
          <a:extLst>
            <a:ext uri="{FF2B5EF4-FFF2-40B4-BE49-F238E27FC236}">
              <a16:creationId xmlns:a16="http://schemas.microsoft.com/office/drawing/2014/main" id="{60C6F166-D50C-23DD-964C-102DF49F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1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33" name="Picture 32" descr="Chile">
          <a:extLst>
            <a:ext uri="{FF2B5EF4-FFF2-40B4-BE49-F238E27FC236}">
              <a16:creationId xmlns:a16="http://schemas.microsoft.com/office/drawing/2014/main" id="{F4CAEAB2-88D9-DD1B-0261-653682EC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01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34" name="Picture 33" descr="United States">
          <a:extLst>
            <a:ext uri="{FF2B5EF4-FFF2-40B4-BE49-F238E27FC236}">
              <a16:creationId xmlns:a16="http://schemas.microsoft.com/office/drawing/2014/main" id="{C6DA1D81-8119-19DD-0ED9-7D88073E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21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35" name="Picture 34" descr="Puerto Rico">
          <a:extLst>
            <a:ext uri="{FF2B5EF4-FFF2-40B4-BE49-F238E27FC236}">
              <a16:creationId xmlns:a16="http://schemas.microsoft.com/office/drawing/2014/main" id="{9130620F-68B8-34F4-B1BF-B5A48C84E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42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36" name="Picture 35" descr="United States">
          <a:extLst>
            <a:ext uri="{FF2B5EF4-FFF2-40B4-BE49-F238E27FC236}">
              <a16:creationId xmlns:a16="http://schemas.microsoft.com/office/drawing/2014/main" id="{E8CC540E-9DE5-A706-4E6D-212C1C29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37" name="Picture 36" descr="United States">
          <a:extLst>
            <a:ext uri="{FF2B5EF4-FFF2-40B4-BE49-F238E27FC236}">
              <a16:creationId xmlns:a16="http://schemas.microsoft.com/office/drawing/2014/main" id="{06E7BC83-9574-AF9B-9321-13C5F7B7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2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38" name="Picture 37" descr="United States">
          <a:extLst>
            <a:ext uri="{FF2B5EF4-FFF2-40B4-BE49-F238E27FC236}">
              <a16:creationId xmlns:a16="http://schemas.microsoft.com/office/drawing/2014/main" id="{BE8B751F-9CF1-B1F5-9EC3-C960BEAD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02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39" name="Picture 38" descr="South Africa">
          <a:extLst>
            <a:ext uri="{FF2B5EF4-FFF2-40B4-BE49-F238E27FC236}">
              <a16:creationId xmlns:a16="http://schemas.microsoft.com/office/drawing/2014/main" id="{5C16F9B8-4E14-CD7F-1FFD-89B1D3C7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23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40" name="Picture 39" descr="South Korea">
          <a:extLst>
            <a:ext uri="{FF2B5EF4-FFF2-40B4-BE49-F238E27FC236}">
              <a16:creationId xmlns:a16="http://schemas.microsoft.com/office/drawing/2014/main" id="{E1EAC8A3-3FF3-0969-950D-C2B0AB45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43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41" name="Picture 40" descr="Sweden">
          <a:extLst>
            <a:ext uri="{FF2B5EF4-FFF2-40B4-BE49-F238E27FC236}">
              <a16:creationId xmlns:a16="http://schemas.microsoft.com/office/drawing/2014/main" id="{CE1E57B1-11B7-3F18-BCD0-A4438B9C5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42" name="Picture 41" descr="United States">
          <a:extLst>
            <a:ext uri="{FF2B5EF4-FFF2-40B4-BE49-F238E27FC236}">
              <a16:creationId xmlns:a16="http://schemas.microsoft.com/office/drawing/2014/main" id="{9F05BDEE-197D-3A21-5C0C-963006D32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4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43" name="Picture 42" descr="United States">
          <a:extLst>
            <a:ext uri="{FF2B5EF4-FFF2-40B4-BE49-F238E27FC236}">
              <a16:creationId xmlns:a16="http://schemas.microsoft.com/office/drawing/2014/main" id="{BF588525-1843-5C9A-71CA-E5B643237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04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44" name="Picture 43" descr="United States">
          <a:extLst>
            <a:ext uri="{FF2B5EF4-FFF2-40B4-BE49-F238E27FC236}">
              <a16:creationId xmlns:a16="http://schemas.microsoft.com/office/drawing/2014/main" id="{9B88CFAF-AE8E-3B95-E93E-18FCF492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24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45" name="Picture 44" descr="Colombia">
          <a:extLst>
            <a:ext uri="{FF2B5EF4-FFF2-40B4-BE49-F238E27FC236}">
              <a16:creationId xmlns:a16="http://schemas.microsoft.com/office/drawing/2014/main" id="{25E187A0-2155-14F4-1E13-B4336C348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5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46" name="Picture 45" descr="United States">
          <a:extLst>
            <a:ext uri="{FF2B5EF4-FFF2-40B4-BE49-F238E27FC236}">
              <a16:creationId xmlns:a16="http://schemas.microsoft.com/office/drawing/2014/main" id="{ED4DDE65-5522-D97A-4CBB-575541C9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47" name="Picture 46" descr="United States">
          <a:extLst>
            <a:ext uri="{FF2B5EF4-FFF2-40B4-BE49-F238E27FC236}">
              <a16:creationId xmlns:a16="http://schemas.microsoft.com/office/drawing/2014/main" id="{ABB0D601-D6C6-55EC-2689-496B2B53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85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48" name="Picture 47" descr="South Korea">
          <a:extLst>
            <a:ext uri="{FF2B5EF4-FFF2-40B4-BE49-F238E27FC236}">
              <a16:creationId xmlns:a16="http://schemas.microsoft.com/office/drawing/2014/main" id="{583D1C2C-5244-D450-8AB0-17BFE975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06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49" name="Picture 48" descr="Australia">
          <a:extLst>
            <a:ext uri="{FF2B5EF4-FFF2-40B4-BE49-F238E27FC236}">
              <a16:creationId xmlns:a16="http://schemas.microsoft.com/office/drawing/2014/main" id="{6244353D-6400-A724-95D5-487B34DC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26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50" name="Picture 49" descr="Cayman Islands">
          <a:extLst>
            <a:ext uri="{FF2B5EF4-FFF2-40B4-BE49-F238E27FC236}">
              <a16:creationId xmlns:a16="http://schemas.microsoft.com/office/drawing/2014/main" id="{C21C1E80-E185-9AB9-1195-7AFBF43D3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6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51" name="Picture 50" descr="Spain">
          <a:extLst>
            <a:ext uri="{FF2B5EF4-FFF2-40B4-BE49-F238E27FC236}">
              <a16:creationId xmlns:a16="http://schemas.microsoft.com/office/drawing/2014/main" id="{160AA993-E8A3-B9EB-09CA-DE34EE31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52" name="Picture 51" descr="United States">
          <a:extLst>
            <a:ext uri="{FF2B5EF4-FFF2-40B4-BE49-F238E27FC236}">
              <a16:creationId xmlns:a16="http://schemas.microsoft.com/office/drawing/2014/main" id="{879577AF-E08D-4DB6-1EB9-6C36E19B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87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53" name="Picture 52" descr="Austria">
          <a:extLst>
            <a:ext uri="{FF2B5EF4-FFF2-40B4-BE49-F238E27FC236}">
              <a16:creationId xmlns:a16="http://schemas.microsoft.com/office/drawing/2014/main" id="{DAFE9CDB-EE76-82F8-01F0-5FB2DD7CB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07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54" name="Picture 53" descr="United States">
          <a:extLst>
            <a:ext uri="{FF2B5EF4-FFF2-40B4-BE49-F238E27FC236}">
              <a16:creationId xmlns:a16="http://schemas.microsoft.com/office/drawing/2014/main" id="{115D3287-6FA9-7DE6-5B46-FEE00601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28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508000</xdr:colOff>
      <xdr:row>64</xdr:row>
      <xdr:rowOff>0</xdr:rowOff>
    </xdr:to>
    <xdr:pic>
      <xdr:nvPicPr>
        <xdr:cNvPr id="55" name="Picture 54" descr="Germany">
          <a:extLst>
            <a:ext uri="{FF2B5EF4-FFF2-40B4-BE49-F238E27FC236}">
              <a16:creationId xmlns:a16="http://schemas.microsoft.com/office/drawing/2014/main" id="{D4EA7523-E723-3387-5292-8ED62F08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8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56" name="Picture 55" descr="United States">
          <a:extLst>
            <a:ext uri="{FF2B5EF4-FFF2-40B4-BE49-F238E27FC236}">
              <a16:creationId xmlns:a16="http://schemas.microsoft.com/office/drawing/2014/main" id="{6667B2DA-111E-DB23-0711-F7FBAECE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57" name="Picture 56" descr="United States">
          <a:extLst>
            <a:ext uri="{FF2B5EF4-FFF2-40B4-BE49-F238E27FC236}">
              <a16:creationId xmlns:a16="http://schemas.microsoft.com/office/drawing/2014/main" id="{A39596C1-489D-0148-6C32-3754C7508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8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58" name="Picture 57" descr="South Korea">
          <a:extLst>
            <a:ext uri="{FF2B5EF4-FFF2-40B4-BE49-F238E27FC236}">
              <a16:creationId xmlns:a16="http://schemas.microsoft.com/office/drawing/2014/main" id="{F7B01545-7892-E7C5-F5C4-253725BF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09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59" name="Picture 58" descr="United States">
          <a:extLst>
            <a:ext uri="{FF2B5EF4-FFF2-40B4-BE49-F238E27FC236}">
              <a16:creationId xmlns:a16="http://schemas.microsoft.com/office/drawing/2014/main" id="{0F67714E-0898-4444-1ED5-7ED8EF97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29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60" name="Picture 59" descr="Singapore">
          <a:extLst>
            <a:ext uri="{FF2B5EF4-FFF2-40B4-BE49-F238E27FC236}">
              <a16:creationId xmlns:a16="http://schemas.microsoft.com/office/drawing/2014/main" id="{A88544FC-7A06-5BBC-A7B0-06F8C3F2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50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61" name="Picture 60" descr="United States">
          <a:extLst>
            <a:ext uri="{FF2B5EF4-FFF2-40B4-BE49-F238E27FC236}">
              <a16:creationId xmlns:a16="http://schemas.microsoft.com/office/drawing/2014/main" id="{C567F55F-E5DB-ED0C-21FA-815AF152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62" name="Picture 61" descr="United States">
          <a:extLst>
            <a:ext uri="{FF2B5EF4-FFF2-40B4-BE49-F238E27FC236}">
              <a16:creationId xmlns:a16="http://schemas.microsoft.com/office/drawing/2014/main" id="{D97DF0D2-5FDF-7B03-B82C-CC74F74E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0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63" name="Picture 62" descr="United States">
          <a:extLst>
            <a:ext uri="{FF2B5EF4-FFF2-40B4-BE49-F238E27FC236}">
              <a16:creationId xmlns:a16="http://schemas.microsoft.com/office/drawing/2014/main" id="{938B2B3A-42FA-53E0-F56B-C25D1CF5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10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64" name="Picture 63" descr="Australia">
          <a:extLst>
            <a:ext uri="{FF2B5EF4-FFF2-40B4-BE49-F238E27FC236}">
              <a16:creationId xmlns:a16="http://schemas.microsoft.com/office/drawing/2014/main" id="{B4617F4E-5568-A401-F88C-0E2A2478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31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65" name="Picture 64" descr="Norway">
          <a:extLst>
            <a:ext uri="{FF2B5EF4-FFF2-40B4-BE49-F238E27FC236}">
              <a16:creationId xmlns:a16="http://schemas.microsoft.com/office/drawing/2014/main" id="{DEDD38A0-7A16-00BF-C4F2-636E9611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51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66" name="Picture 65" descr="England">
          <a:extLst>
            <a:ext uri="{FF2B5EF4-FFF2-40B4-BE49-F238E27FC236}">
              <a16:creationId xmlns:a16="http://schemas.microsoft.com/office/drawing/2014/main" id="{B9142EFD-7B64-A12B-7659-5F74F63B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67" name="Picture 66" descr="Spain">
          <a:extLst>
            <a:ext uri="{FF2B5EF4-FFF2-40B4-BE49-F238E27FC236}">
              <a16:creationId xmlns:a16="http://schemas.microsoft.com/office/drawing/2014/main" id="{9B3F9EC6-97F7-9396-9792-141140FD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2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68" name="Picture 67" descr="United States">
          <a:extLst>
            <a:ext uri="{FF2B5EF4-FFF2-40B4-BE49-F238E27FC236}">
              <a16:creationId xmlns:a16="http://schemas.microsoft.com/office/drawing/2014/main" id="{26F8C005-A420-3ABF-257F-1CCDBC6C2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12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69" name="Picture 68" descr="Venezuela">
          <a:extLst>
            <a:ext uri="{FF2B5EF4-FFF2-40B4-BE49-F238E27FC236}">
              <a16:creationId xmlns:a16="http://schemas.microsoft.com/office/drawing/2014/main" id="{B89990D7-350B-DD0F-369F-C12C331B0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32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70" name="Picture 69" descr="Canada">
          <a:extLst>
            <a:ext uri="{FF2B5EF4-FFF2-40B4-BE49-F238E27FC236}">
              <a16:creationId xmlns:a16="http://schemas.microsoft.com/office/drawing/2014/main" id="{85C16AA5-C363-B150-CFF4-D36326381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53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71" name="Picture 70" descr="United States">
          <a:extLst>
            <a:ext uri="{FF2B5EF4-FFF2-40B4-BE49-F238E27FC236}">
              <a16:creationId xmlns:a16="http://schemas.microsoft.com/office/drawing/2014/main" id="{9A2B678F-4A24-AA5B-9154-F81E7C69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72" name="Picture 71" descr="England">
          <a:extLst>
            <a:ext uri="{FF2B5EF4-FFF2-40B4-BE49-F238E27FC236}">
              <a16:creationId xmlns:a16="http://schemas.microsoft.com/office/drawing/2014/main" id="{3DBAD238-4F87-791D-40C0-7BA88F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38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73" name="Picture 72" descr="Scotland">
          <a:extLst>
            <a:ext uri="{FF2B5EF4-FFF2-40B4-BE49-F238E27FC236}">
              <a16:creationId xmlns:a16="http://schemas.microsoft.com/office/drawing/2014/main" id="{11F95C19-7D6F-0132-C85E-536AF1314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141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74" name="Picture 73" descr="United States">
          <a:extLst>
            <a:ext uri="{FF2B5EF4-FFF2-40B4-BE49-F238E27FC236}">
              <a16:creationId xmlns:a16="http://schemas.microsoft.com/office/drawing/2014/main" id="{316F38ED-14CC-13D5-6FFD-70A1A1E0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344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75" name="Picture 74" descr="United States">
          <a:extLst>
            <a:ext uri="{FF2B5EF4-FFF2-40B4-BE49-F238E27FC236}">
              <a16:creationId xmlns:a16="http://schemas.microsoft.com/office/drawing/2014/main" id="{B54D31AB-C2AF-06B9-5659-D8971670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548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76" name="Picture 75" descr="United States">
          <a:extLst>
            <a:ext uri="{FF2B5EF4-FFF2-40B4-BE49-F238E27FC236}">
              <a16:creationId xmlns:a16="http://schemas.microsoft.com/office/drawing/2014/main" id="{FBB1745D-A219-494F-8024-708D9E36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77" name="Picture 76" descr="England">
          <a:extLst>
            <a:ext uri="{FF2B5EF4-FFF2-40B4-BE49-F238E27FC236}">
              <a16:creationId xmlns:a16="http://schemas.microsoft.com/office/drawing/2014/main" id="{5D3BE3EB-60E4-9305-2BBE-F6B91D958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95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78" name="Picture 77" descr="United States">
          <a:extLst>
            <a:ext uri="{FF2B5EF4-FFF2-40B4-BE49-F238E27FC236}">
              <a16:creationId xmlns:a16="http://schemas.microsoft.com/office/drawing/2014/main" id="{2FB9A53E-9A32-6DDA-3FC9-D241B9E6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157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79" name="Picture 78" descr="United States">
          <a:extLst>
            <a:ext uri="{FF2B5EF4-FFF2-40B4-BE49-F238E27FC236}">
              <a16:creationId xmlns:a16="http://schemas.microsoft.com/office/drawing/2014/main" id="{BE2DCAEA-3F8B-46FD-362A-404B4D89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360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80" name="Picture 79" descr="Canada">
          <a:extLst>
            <a:ext uri="{FF2B5EF4-FFF2-40B4-BE49-F238E27FC236}">
              <a16:creationId xmlns:a16="http://schemas.microsoft.com/office/drawing/2014/main" id="{DBF244E5-5D92-CE33-E118-E602505CB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64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81" name="Picture 80" descr="Denmark">
          <a:extLst>
            <a:ext uri="{FF2B5EF4-FFF2-40B4-BE49-F238E27FC236}">
              <a16:creationId xmlns:a16="http://schemas.microsoft.com/office/drawing/2014/main" id="{50AC3C9B-C12F-C9F8-9AEB-00BD1826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82" name="Picture 81" descr="Chinese Taipei">
          <a:extLst>
            <a:ext uri="{FF2B5EF4-FFF2-40B4-BE49-F238E27FC236}">
              <a16:creationId xmlns:a16="http://schemas.microsoft.com/office/drawing/2014/main" id="{06A2FA13-1772-7AC8-57F5-9CF1D837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97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83" name="Picture 82" descr="United States">
          <a:extLst>
            <a:ext uri="{FF2B5EF4-FFF2-40B4-BE49-F238E27FC236}">
              <a16:creationId xmlns:a16="http://schemas.microsoft.com/office/drawing/2014/main" id="{E7FC823B-E65F-92AE-5DC2-8BF5EF14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173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84" name="Picture 83" descr="Spain">
          <a:extLst>
            <a:ext uri="{FF2B5EF4-FFF2-40B4-BE49-F238E27FC236}">
              <a16:creationId xmlns:a16="http://schemas.microsoft.com/office/drawing/2014/main" id="{B48091EA-42B4-2B69-E10B-94B08C54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376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85" name="Picture 84" descr="Argentina">
          <a:extLst>
            <a:ext uri="{FF2B5EF4-FFF2-40B4-BE49-F238E27FC236}">
              <a16:creationId xmlns:a16="http://schemas.microsoft.com/office/drawing/2014/main" id="{6A523F09-280F-1574-D1B2-F2573B4D8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80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86" name="Picture 85" descr="Spain">
          <a:extLst>
            <a:ext uri="{FF2B5EF4-FFF2-40B4-BE49-F238E27FC236}">
              <a16:creationId xmlns:a16="http://schemas.microsoft.com/office/drawing/2014/main" id="{7934DA85-9555-8E0C-BD44-D9E04A69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87" name="Picture 86" descr="South Africa">
          <a:extLst>
            <a:ext uri="{FF2B5EF4-FFF2-40B4-BE49-F238E27FC236}">
              <a16:creationId xmlns:a16="http://schemas.microsoft.com/office/drawing/2014/main" id="{1C6843B3-80C3-B370-C0CF-9CD0B58A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986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88" name="Picture 87" descr="Canada">
          <a:extLst>
            <a:ext uri="{FF2B5EF4-FFF2-40B4-BE49-F238E27FC236}">
              <a16:creationId xmlns:a16="http://schemas.microsoft.com/office/drawing/2014/main" id="{B1E1BF00-D4EE-0EFF-29BF-7C73478E3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189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89" name="Picture 88" descr="United States">
          <a:extLst>
            <a:ext uri="{FF2B5EF4-FFF2-40B4-BE49-F238E27FC236}">
              <a16:creationId xmlns:a16="http://schemas.microsoft.com/office/drawing/2014/main" id="{21E5A13A-6553-D796-3847-CD229A04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392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90" name="Picture 89" descr="Belgium">
          <a:extLst>
            <a:ext uri="{FF2B5EF4-FFF2-40B4-BE49-F238E27FC236}">
              <a16:creationId xmlns:a16="http://schemas.microsoft.com/office/drawing/2014/main" id="{173DDBB0-7840-CF78-867F-33F2E42D1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96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91" name="Picture 90" descr="United States">
          <a:extLst>
            <a:ext uri="{FF2B5EF4-FFF2-40B4-BE49-F238E27FC236}">
              <a16:creationId xmlns:a16="http://schemas.microsoft.com/office/drawing/2014/main" id="{E46FDCF7-A228-B33C-0506-E22F231BF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92" name="Picture 91" descr="United States">
          <a:extLst>
            <a:ext uri="{FF2B5EF4-FFF2-40B4-BE49-F238E27FC236}">
              <a16:creationId xmlns:a16="http://schemas.microsoft.com/office/drawing/2014/main" id="{03CA87EE-2BF2-C59D-17D9-21F71C7C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02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93" name="Picture 92" descr="United States">
          <a:extLst>
            <a:ext uri="{FF2B5EF4-FFF2-40B4-BE49-F238E27FC236}">
              <a16:creationId xmlns:a16="http://schemas.microsoft.com/office/drawing/2014/main" id="{A605F013-78DC-E30D-3B5A-09DB343E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2057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94" name="Picture 93" descr="South Africa">
          <a:extLst>
            <a:ext uri="{FF2B5EF4-FFF2-40B4-BE49-F238E27FC236}">
              <a16:creationId xmlns:a16="http://schemas.microsoft.com/office/drawing/2014/main" id="{CD5FD596-FF52-E261-5B8E-47B55B34D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408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95" name="Picture 94" descr="France">
          <a:extLst>
            <a:ext uri="{FF2B5EF4-FFF2-40B4-BE49-F238E27FC236}">
              <a16:creationId xmlns:a16="http://schemas.microsoft.com/office/drawing/2014/main" id="{9795BF12-6350-8839-F33F-0D5822A9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6121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96" name="Picture 95" descr="United States">
          <a:extLst>
            <a:ext uri="{FF2B5EF4-FFF2-40B4-BE49-F238E27FC236}">
              <a16:creationId xmlns:a16="http://schemas.microsoft.com/office/drawing/2014/main" id="{E5A703D5-9223-086E-7AFA-610457CC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192" name="Picture 191" descr="England">
          <a:extLst>
            <a:ext uri="{FF2B5EF4-FFF2-40B4-BE49-F238E27FC236}">
              <a16:creationId xmlns:a16="http://schemas.microsoft.com/office/drawing/2014/main" id="{79337B55-6213-2F16-F535-CC50C941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193" name="Picture 192" descr="Canada">
          <a:extLst>
            <a:ext uri="{FF2B5EF4-FFF2-40B4-BE49-F238E27FC236}">
              <a16:creationId xmlns:a16="http://schemas.microsoft.com/office/drawing/2014/main" id="{343BD0E6-8431-794F-013E-5329F199E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194" name="Picture 193" descr="United States">
          <a:extLst>
            <a:ext uri="{FF2B5EF4-FFF2-40B4-BE49-F238E27FC236}">
              <a16:creationId xmlns:a16="http://schemas.microsoft.com/office/drawing/2014/main" id="{144209A1-B57F-4EF7-0B50-35B186E4A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195" name="Picture 194" descr="Sweden">
          <a:extLst>
            <a:ext uri="{FF2B5EF4-FFF2-40B4-BE49-F238E27FC236}">
              <a16:creationId xmlns:a16="http://schemas.microsoft.com/office/drawing/2014/main" id="{4CF5B248-B144-1258-3390-C4FB759B9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196" name="Picture 195" descr="England">
          <a:extLst>
            <a:ext uri="{FF2B5EF4-FFF2-40B4-BE49-F238E27FC236}">
              <a16:creationId xmlns:a16="http://schemas.microsoft.com/office/drawing/2014/main" id="{AABFFA90-2931-F491-C5F0-0F7878AF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197" name="Picture 196" descr="United States">
          <a:extLst>
            <a:ext uri="{FF2B5EF4-FFF2-40B4-BE49-F238E27FC236}">
              <a16:creationId xmlns:a16="http://schemas.microsoft.com/office/drawing/2014/main" id="{9BB2FDA0-8B1B-CBF3-88FE-96C9EFF0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198" name="Picture 197" descr="England">
          <a:extLst>
            <a:ext uri="{FF2B5EF4-FFF2-40B4-BE49-F238E27FC236}">
              <a16:creationId xmlns:a16="http://schemas.microsoft.com/office/drawing/2014/main" id="{CABFFD3B-72A4-505A-D7D6-975765B2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199" name="Picture 198" descr="United States">
          <a:extLst>
            <a:ext uri="{FF2B5EF4-FFF2-40B4-BE49-F238E27FC236}">
              <a16:creationId xmlns:a16="http://schemas.microsoft.com/office/drawing/2014/main" id="{2555897D-E5DE-6358-915C-FB5F7A96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200" name="Picture 199" descr="Australia">
          <a:extLst>
            <a:ext uri="{FF2B5EF4-FFF2-40B4-BE49-F238E27FC236}">
              <a16:creationId xmlns:a16="http://schemas.microsoft.com/office/drawing/2014/main" id="{DA62D218-97BE-97A0-CA7E-FED174F3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201" name="Picture 200" descr="United States">
          <a:extLst>
            <a:ext uri="{FF2B5EF4-FFF2-40B4-BE49-F238E27FC236}">
              <a16:creationId xmlns:a16="http://schemas.microsoft.com/office/drawing/2014/main" id="{4A966A6B-49EE-5169-AEB5-8A56DF88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202" name="Picture 201" descr="United States">
          <a:extLst>
            <a:ext uri="{FF2B5EF4-FFF2-40B4-BE49-F238E27FC236}">
              <a16:creationId xmlns:a16="http://schemas.microsoft.com/office/drawing/2014/main" id="{458B7AF8-2EEF-80A4-7EDA-71F607FAF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203" name="Picture 202" descr="United States">
          <a:extLst>
            <a:ext uri="{FF2B5EF4-FFF2-40B4-BE49-F238E27FC236}">
              <a16:creationId xmlns:a16="http://schemas.microsoft.com/office/drawing/2014/main" id="{0965B667-3024-1F8F-0C05-8779CA49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204" name="Picture 203" descr="Australia">
          <a:extLst>
            <a:ext uri="{FF2B5EF4-FFF2-40B4-BE49-F238E27FC236}">
              <a16:creationId xmlns:a16="http://schemas.microsoft.com/office/drawing/2014/main" id="{F4F0A2AB-CC1B-2366-92DA-3DAC209BA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205" name="Picture 204" descr="United States">
          <a:extLst>
            <a:ext uri="{FF2B5EF4-FFF2-40B4-BE49-F238E27FC236}">
              <a16:creationId xmlns:a16="http://schemas.microsoft.com/office/drawing/2014/main" id="{42BE7EBF-ECFA-D968-DCC1-620B3977A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206" name="Picture 205" descr="United States">
          <a:extLst>
            <a:ext uri="{FF2B5EF4-FFF2-40B4-BE49-F238E27FC236}">
              <a16:creationId xmlns:a16="http://schemas.microsoft.com/office/drawing/2014/main" id="{C20862CE-51E7-3F32-FCCC-E31717FC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207" name="Picture 206" descr="United States">
          <a:extLst>
            <a:ext uri="{FF2B5EF4-FFF2-40B4-BE49-F238E27FC236}">
              <a16:creationId xmlns:a16="http://schemas.microsoft.com/office/drawing/2014/main" id="{53C22394-EA64-347A-DE4F-39F84EF9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208" name="Picture 207" descr="United States">
          <a:extLst>
            <a:ext uri="{FF2B5EF4-FFF2-40B4-BE49-F238E27FC236}">
              <a16:creationId xmlns:a16="http://schemas.microsoft.com/office/drawing/2014/main" id="{1645EB7A-E721-F753-C0D9-67EACA6E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209" name="Picture 208" descr="Australia">
          <a:extLst>
            <a:ext uri="{FF2B5EF4-FFF2-40B4-BE49-F238E27FC236}">
              <a16:creationId xmlns:a16="http://schemas.microsoft.com/office/drawing/2014/main" id="{EB033228-5620-7F3C-C17E-E0E61399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210" name="Picture 209" descr="United States">
          <a:extLst>
            <a:ext uri="{FF2B5EF4-FFF2-40B4-BE49-F238E27FC236}">
              <a16:creationId xmlns:a16="http://schemas.microsoft.com/office/drawing/2014/main" id="{BD4BF534-F682-479B-63D6-C2F4CD4EF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211" name="Picture 210" descr="United States">
          <a:extLst>
            <a:ext uri="{FF2B5EF4-FFF2-40B4-BE49-F238E27FC236}">
              <a16:creationId xmlns:a16="http://schemas.microsoft.com/office/drawing/2014/main" id="{77F3BAED-F5AD-9DD5-BAAF-CB71811F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212" name="Picture 211" descr="United States">
          <a:extLst>
            <a:ext uri="{FF2B5EF4-FFF2-40B4-BE49-F238E27FC236}">
              <a16:creationId xmlns:a16="http://schemas.microsoft.com/office/drawing/2014/main" id="{D5AB813A-9568-7F53-F4B2-EAFDBEAE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213" name="Picture 212" descr="United States">
          <a:extLst>
            <a:ext uri="{FF2B5EF4-FFF2-40B4-BE49-F238E27FC236}">
              <a16:creationId xmlns:a16="http://schemas.microsoft.com/office/drawing/2014/main" id="{A1602958-00ED-0BE7-2514-BCF5224A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214" name="Picture 213" descr="England">
          <a:extLst>
            <a:ext uri="{FF2B5EF4-FFF2-40B4-BE49-F238E27FC236}">
              <a16:creationId xmlns:a16="http://schemas.microsoft.com/office/drawing/2014/main" id="{04DFF6E8-18C6-81D6-04F8-F66165F2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215" name="Picture 214" descr="South Korea">
          <a:extLst>
            <a:ext uri="{FF2B5EF4-FFF2-40B4-BE49-F238E27FC236}">
              <a16:creationId xmlns:a16="http://schemas.microsoft.com/office/drawing/2014/main" id="{FB3454B9-3981-78D1-5B85-0E904296A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216" name="Picture 215" descr="Norway">
          <a:extLst>
            <a:ext uri="{FF2B5EF4-FFF2-40B4-BE49-F238E27FC236}">
              <a16:creationId xmlns:a16="http://schemas.microsoft.com/office/drawing/2014/main" id="{99C16FA9-966F-253E-B304-6AA7DC71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217" name="Picture 216" descr="Ireland">
          <a:extLst>
            <a:ext uri="{FF2B5EF4-FFF2-40B4-BE49-F238E27FC236}">
              <a16:creationId xmlns:a16="http://schemas.microsoft.com/office/drawing/2014/main" id="{847D2D1F-4C6D-DD43-DD2F-BAF403E3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218" name="Picture 217" descr="United States">
          <a:extLst>
            <a:ext uri="{FF2B5EF4-FFF2-40B4-BE49-F238E27FC236}">
              <a16:creationId xmlns:a16="http://schemas.microsoft.com/office/drawing/2014/main" id="{25D70785-1A85-7257-6478-EEADF6D1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219" name="Picture 218" descr="United States">
          <a:extLst>
            <a:ext uri="{FF2B5EF4-FFF2-40B4-BE49-F238E27FC236}">
              <a16:creationId xmlns:a16="http://schemas.microsoft.com/office/drawing/2014/main" id="{94E9C339-9F62-CCF6-BAC3-B03985CF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220" name="Picture 219" descr="Germany">
          <a:extLst>
            <a:ext uri="{FF2B5EF4-FFF2-40B4-BE49-F238E27FC236}">
              <a16:creationId xmlns:a16="http://schemas.microsoft.com/office/drawing/2014/main" id="{D96FABD0-EB6D-DA3D-1447-45FC44D5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221" name="Picture 220" descr="United States">
          <a:extLst>
            <a:ext uri="{FF2B5EF4-FFF2-40B4-BE49-F238E27FC236}">
              <a16:creationId xmlns:a16="http://schemas.microsoft.com/office/drawing/2014/main" id="{D603C3F3-DBD7-A12F-3290-6AB558E0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222" name="Picture 221" descr="Chile">
          <a:extLst>
            <a:ext uri="{FF2B5EF4-FFF2-40B4-BE49-F238E27FC236}">
              <a16:creationId xmlns:a16="http://schemas.microsoft.com/office/drawing/2014/main" id="{CFBA69BE-870B-1867-F96B-2200BEA25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223" name="Picture 222" descr="United States">
          <a:extLst>
            <a:ext uri="{FF2B5EF4-FFF2-40B4-BE49-F238E27FC236}">
              <a16:creationId xmlns:a16="http://schemas.microsoft.com/office/drawing/2014/main" id="{3E8129D8-3034-0853-15D6-B79570B0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224" name="Picture 223" descr="United States">
          <a:extLst>
            <a:ext uri="{FF2B5EF4-FFF2-40B4-BE49-F238E27FC236}">
              <a16:creationId xmlns:a16="http://schemas.microsoft.com/office/drawing/2014/main" id="{B0115054-462F-FB7D-D3D6-DEB8EAC71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225" name="Picture 224" descr="United States">
          <a:extLst>
            <a:ext uri="{FF2B5EF4-FFF2-40B4-BE49-F238E27FC236}">
              <a16:creationId xmlns:a16="http://schemas.microsoft.com/office/drawing/2014/main" id="{03E94D0F-9BBE-E9AC-C1C2-93B0D033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226" name="Picture 225" descr="Spain">
          <a:extLst>
            <a:ext uri="{FF2B5EF4-FFF2-40B4-BE49-F238E27FC236}">
              <a16:creationId xmlns:a16="http://schemas.microsoft.com/office/drawing/2014/main" id="{E24C5F09-2CF3-F14C-0205-ADAF475D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227" name="Picture 226" descr="Northern Ireland">
          <a:extLst>
            <a:ext uri="{FF2B5EF4-FFF2-40B4-BE49-F238E27FC236}">
              <a16:creationId xmlns:a16="http://schemas.microsoft.com/office/drawing/2014/main" id="{D08D4140-CA46-D4C7-609B-E61F7A3A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228" name="Picture 227" descr="United States">
          <a:extLst>
            <a:ext uri="{FF2B5EF4-FFF2-40B4-BE49-F238E27FC236}">
              <a16:creationId xmlns:a16="http://schemas.microsoft.com/office/drawing/2014/main" id="{A38E4ACE-6FBD-DDCA-9F92-36B41CAB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229" name="Picture 228" descr="United States">
          <a:extLst>
            <a:ext uri="{FF2B5EF4-FFF2-40B4-BE49-F238E27FC236}">
              <a16:creationId xmlns:a16="http://schemas.microsoft.com/office/drawing/2014/main" id="{866F4B20-8A78-E7D0-4F79-4FB6B8AD5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230" name="Picture 229" descr="Colombia">
          <a:extLst>
            <a:ext uri="{FF2B5EF4-FFF2-40B4-BE49-F238E27FC236}">
              <a16:creationId xmlns:a16="http://schemas.microsoft.com/office/drawing/2014/main" id="{9BF29A53-5A8F-B8CD-6725-64F5EEC8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231" name="Picture 230" descr="United States">
          <a:extLst>
            <a:ext uri="{FF2B5EF4-FFF2-40B4-BE49-F238E27FC236}">
              <a16:creationId xmlns:a16="http://schemas.microsoft.com/office/drawing/2014/main" id="{80407E6F-57AB-9873-CAEA-12C22A9C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232" name="Picture 231" descr="United States">
          <a:extLst>
            <a:ext uri="{FF2B5EF4-FFF2-40B4-BE49-F238E27FC236}">
              <a16:creationId xmlns:a16="http://schemas.microsoft.com/office/drawing/2014/main" id="{3DD3010A-DC5D-C669-EC4B-02C87183F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233" name="Picture 232" descr="South Korea">
          <a:extLst>
            <a:ext uri="{FF2B5EF4-FFF2-40B4-BE49-F238E27FC236}">
              <a16:creationId xmlns:a16="http://schemas.microsoft.com/office/drawing/2014/main" id="{CD1C7E5D-B3D6-6360-E764-F1766BD7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234" name="Picture 233" descr="United States">
          <a:extLst>
            <a:ext uri="{FF2B5EF4-FFF2-40B4-BE49-F238E27FC236}">
              <a16:creationId xmlns:a16="http://schemas.microsoft.com/office/drawing/2014/main" id="{C2AA2E83-0E38-27C1-8246-21B1294C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235" name="Picture 234" descr="Singapore">
          <a:extLst>
            <a:ext uri="{FF2B5EF4-FFF2-40B4-BE49-F238E27FC236}">
              <a16:creationId xmlns:a16="http://schemas.microsoft.com/office/drawing/2014/main" id="{B8DC7619-E99B-6C1D-6E3A-55C8EDBC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236" name="Picture 235" descr="Canada">
          <a:extLst>
            <a:ext uri="{FF2B5EF4-FFF2-40B4-BE49-F238E27FC236}">
              <a16:creationId xmlns:a16="http://schemas.microsoft.com/office/drawing/2014/main" id="{0448477B-4D2C-16C1-8786-BB1A414B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237" name="Picture 236" descr="Denmark">
          <a:extLst>
            <a:ext uri="{FF2B5EF4-FFF2-40B4-BE49-F238E27FC236}">
              <a16:creationId xmlns:a16="http://schemas.microsoft.com/office/drawing/2014/main" id="{4CC7FBBC-54A4-15AB-4CC9-D8A305E7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238" name="Picture 237" descr="United States">
          <a:extLst>
            <a:ext uri="{FF2B5EF4-FFF2-40B4-BE49-F238E27FC236}">
              <a16:creationId xmlns:a16="http://schemas.microsoft.com/office/drawing/2014/main" id="{B1DC92DE-96A9-1923-0152-5126CCE05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239" name="Picture 238" descr="Japan">
          <a:extLst>
            <a:ext uri="{FF2B5EF4-FFF2-40B4-BE49-F238E27FC236}">
              <a16:creationId xmlns:a16="http://schemas.microsoft.com/office/drawing/2014/main" id="{678AF743-6604-54D0-7BDA-99710A09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240" name="Picture 239" descr="England">
          <a:extLst>
            <a:ext uri="{FF2B5EF4-FFF2-40B4-BE49-F238E27FC236}">
              <a16:creationId xmlns:a16="http://schemas.microsoft.com/office/drawing/2014/main" id="{7F018355-A349-2B0A-0E29-AD2DD329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241" name="Picture 240" descr="United States">
          <a:extLst>
            <a:ext uri="{FF2B5EF4-FFF2-40B4-BE49-F238E27FC236}">
              <a16:creationId xmlns:a16="http://schemas.microsoft.com/office/drawing/2014/main" id="{ECFD55C4-12CF-554E-F472-CD4DDB665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242" name="Picture 241" descr="Germany">
          <a:extLst>
            <a:ext uri="{FF2B5EF4-FFF2-40B4-BE49-F238E27FC236}">
              <a16:creationId xmlns:a16="http://schemas.microsoft.com/office/drawing/2014/main" id="{7342B63D-5469-E7D7-ECD3-9FFEF8FE7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243" name="Picture 242" descr="United States">
          <a:extLst>
            <a:ext uri="{FF2B5EF4-FFF2-40B4-BE49-F238E27FC236}">
              <a16:creationId xmlns:a16="http://schemas.microsoft.com/office/drawing/2014/main" id="{2EB39F0E-FAD2-D432-BBCE-BD16AE49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244" name="Picture 243" descr="United States">
          <a:extLst>
            <a:ext uri="{FF2B5EF4-FFF2-40B4-BE49-F238E27FC236}">
              <a16:creationId xmlns:a16="http://schemas.microsoft.com/office/drawing/2014/main" id="{A7FD13C6-FBA6-1ECA-7C30-46273B69A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508000</xdr:colOff>
      <xdr:row>64</xdr:row>
      <xdr:rowOff>0</xdr:rowOff>
    </xdr:to>
    <xdr:pic>
      <xdr:nvPicPr>
        <xdr:cNvPr id="245" name="Picture 244" descr="South Korea">
          <a:extLst>
            <a:ext uri="{FF2B5EF4-FFF2-40B4-BE49-F238E27FC236}">
              <a16:creationId xmlns:a16="http://schemas.microsoft.com/office/drawing/2014/main" id="{EFB8DD3A-4E9F-50EC-DCF6-8539F89A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2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246" name="Picture 245" descr="United States">
          <a:extLst>
            <a:ext uri="{FF2B5EF4-FFF2-40B4-BE49-F238E27FC236}">
              <a16:creationId xmlns:a16="http://schemas.microsoft.com/office/drawing/2014/main" id="{486DDD56-0012-A855-5ED5-6B2BB8684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247" name="Picture 246" descr="Australia">
          <a:extLst>
            <a:ext uri="{FF2B5EF4-FFF2-40B4-BE49-F238E27FC236}">
              <a16:creationId xmlns:a16="http://schemas.microsoft.com/office/drawing/2014/main" id="{8FA5F087-819E-D16E-C70C-D6196768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248" name="Picture 247" descr="South Africa">
          <a:extLst>
            <a:ext uri="{FF2B5EF4-FFF2-40B4-BE49-F238E27FC236}">
              <a16:creationId xmlns:a16="http://schemas.microsoft.com/office/drawing/2014/main" id="{75146A91-E542-17B4-A622-18B2BAE1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249" name="Picture 248" descr="United States">
          <a:extLst>
            <a:ext uri="{FF2B5EF4-FFF2-40B4-BE49-F238E27FC236}">
              <a16:creationId xmlns:a16="http://schemas.microsoft.com/office/drawing/2014/main" id="{81C48DF0-BA02-7D5E-0536-D5AFE15B1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250" name="Picture 249" descr="United States">
          <a:extLst>
            <a:ext uri="{FF2B5EF4-FFF2-40B4-BE49-F238E27FC236}">
              <a16:creationId xmlns:a16="http://schemas.microsoft.com/office/drawing/2014/main" id="{52785107-F58C-40B1-0EA1-63D1E0DB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251" name="Picture 250" descr="United States">
          <a:extLst>
            <a:ext uri="{FF2B5EF4-FFF2-40B4-BE49-F238E27FC236}">
              <a16:creationId xmlns:a16="http://schemas.microsoft.com/office/drawing/2014/main" id="{7E9E9BA5-39CC-F88A-825E-4DF4D760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252" name="Picture 251" descr="United States">
          <a:extLst>
            <a:ext uri="{FF2B5EF4-FFF2-40B4-BE49-F238E27FC236}">
              <a16:creationId xmlns:a16="http://schemas.microsoft.com/office/drawing/2014/main" id="{AFAC8D6F-1F0D-B677-6F35-A4949B41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253" name="Picture 252" descr="United States">
          <a:extLst>
            <a:ext uri="{FF2B5EF4-FFF2-40B4-BE49-F238E27FC236}">
              <a16:creationId xmlns:a16="http://schemas.microsoft.com/office/drawing/2014/main" id="{2EA2CD5B-3AF8-F89E-1047-9F2A9379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254" name="Picture 253" descr="Venezuela">
          <a:extLst>
            <a:ext uri="{FF2B5EF4-FFF2-40B4-BE49-F238E27FC236}">
              <a16:creationId xmlns:a16="http://schemas.microsoft.com/office/drawing/2014/main" id="{CF47ADDE-4F8E-EE0C-A64D-90A00252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255" name="Picture 254" descr="Canada">
          <a:extLst>
            <a:ext uri="{FF2B5EF4-FFF2-40B4-BE49-F238E27FC236}">
              <a16:creationId xmlns:a16="http://schemas.microsoft.com/office/drawing/2014/main" id="{AC4685E3-332F-4F49-5601-2910999C5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256" name="Picture 255" descr="United States">
          <a:extLst>
            <a:ext uri="{FF2B5EF4-FFF2-40B4-BE49-F238E27FC236}">
              <a16:creationId xmlns:a16="http://schemas.microsoft.com/office/drawing/2014/main" id="{03F59220-E882-0253-A684-D8320D416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0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257" name="Picture 256" descr="England">
          <a:extLst>
            <a:ext uri="{FF2B5EF4-FFF2-40B4-BE49-F238E27FC236}">
              <a16:creationId xmlns:a16="http://schemas.microsoft.com/office/drawing/2014/main" id="{E888A6A8-2849-D5F0-8204-64820DAA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258" name="Picture 257" descr="Scotland">
          <a:extLst>
            <a:ext uri="{FF2B5EF4-FFF2-40B4-BE49-F238E27FC236}">
              <a16:creationId xmlns:a16="http://schemas.microsoft.com/office/drawing/2014/main" id="{970AB5BC-3737-EE3F-0578-7DDBD204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259" name="Picture 258" descr="United States">
          <a:extLst>
            <a:ext uri="{FF2B5EF4-FFF2-40B4-BE49-F238E27FC236}">
              <a16:creationId xmlns:a16="http://schemas.microsoft.com/office/drawing/2014/main" id="{90E99ACC-22ED-3A72-2576-62A724B06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260" name="Picture 259" descr="United States">
          <a:extLst>
            <a:ext uri="{FF2B5EF4-FFF2-40B4-BE49-F238E27FC236}">
              <a16:creationId xmlns:a16="http://schemas.microsoft.com/office/drawing/2014/main" id="{AF765067-D886-92F9-CBEB-E23E39A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261" name="Picture 260" descr="Puerto Rico">
          <a:extLst>
            <a:ext uri="{FF2B5EF4-FFF2-40B4-BE49-F238E27FC236}">
              <a16:creationId xmlns:a16="http://schemas.microsoft.com/office/drawing/2014/main" id="{B9064AAF-938A-01EE-3DD8-449283F7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262" name="Picture 261" descr="Argentina">
          <a:extLst>
            <a:ext uri="{FF2B5EF4-FFF2-40B4-BE49-F238E27FC236}">
              <a16:creationId xmlns:a16="http://schemas.microsoft.com/office/drawing/2014/main" id="{A4D6EAD0-885B-D7AA-C48C-630AEE1BA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263" name="Picture 262" descr="Spain">
          <a:extLst>
            <a:ext uri="{FF2B5EF4-FFF2-40B4-BE49-F238E27FC236}">
              <a16:creationId xmlns:a16="http://schemas.microsoft.com/office/drawing/2014/main" id="{1F823567-8538-27EA-30BE-3C6929DA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264" name="Picture 263" descr="Denmark">
          <a:extLst>
            <a:ext uri="{FF2B5EF4-FFF2-40B4-BE49-F238E27FC236}">
              <a16:creationId xmlns:a16="http://schemas.microsoft.com/office/drawing/2014/main" id="{A4035826-7AAA-C7DF-F7D9-DBF9B2EF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265" name="Picture 264" descr="Chinese Taipei">
          <a:extLst>
            <a:ext uri="{FF2B5EF4-FFF2-40B4-BE49-F238E27FC236}">
              <a16:creationId xmlns:a16="http://schemas.microsoft.com/office/drawing/2014/main" id="{C701E139-25D6-E57E-7640-601ADB39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266" name="Picture 265" descr="United States">
          <a:extLst>
            <a:ext uri="{FF2B5EF4-FFF2-40B4-BE49-F238E27FC236}">
              <a16:creationId xmlns:a16="http://schemas.microsoft.com/office/drawing/2014/main" id="{4897B8E1-A50E-E7B5-F4D1-3EF8B217C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267" name="Picture 266" descr="Spain">
          <a:extLst>
            <a:ext uri="{FF2B5EF4-FFF2-40B4-BE49-F238E27FC236}">
              <a16:creationId xmlns:a16="http://schemas.microsoft.com/office/drawing/2014/main" id="{4E347DD4-2E61-D357-337E-2D76B0DB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268" name="Picture 267" descr="United States">
          <a:extLst>
            <a:ext uri="{FF2B5EF4-FFF2-40B4-BE49-F238E27FC236}">
              <a16:creationId xmlns:a16="http://schemas.microsoft.com/office/drawing/2014/main" id="{F71BCF70-620E-8DA0-B3E4-8F5E6496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269" name="Picture 268" descr="South Africa">
          <a:extLst>
            <a:ext uri="{FF2B5EF4-FFF2-40B4-BE49-F238E27FC236}">
              <a16:creationId xmlns:a16="http://schemas.microsoft.com/office/drawing/2014/main" id="{1DE991F9-B1CD-AF5D-27D7-7E067E527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270" name="Picture 269" descr="Cayman Islands">
          <a:extLst>
            <a:ext uri="{FF2B5EF4-FFF2-40B4-BE49-F238E27FC236}">
              <a16:creationId xmlns:a16="http://schemas.microsoft.com/office/drawing/2014/main" id="{98A3253D-0285-B985-38D8-CE95C5A8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271" name="Picture 270" descr="United States">
          <a:extLst>
            <a:ext uri="{FF2B5EF4-FFF2-40B4-BE49-F238E27FC236}">
              <a16:creationId xmlns:a16="http://schemas.microsoft.com/office/drawing/2014/main" id="{97AA7DA6-5D84-1865-5F85-2CC3CC258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272" name="Picture 271" descr="Canada">
          <a:extLst>
            <a:ext uri="{FF2B5EF4-FFF2-40B4-BE49-F238E27FC236}">
              <a16:creationId xmlns:a16="http://schemas.microsoft.com/office/drawing/2014/main" id="{0A50591E-316D-5B64-F3E3-5A326C12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273" name="Picture 272" descr="United States">
          <a:extLst>
            <a:ext uri="{FF2B5EF4-FFF2-40B4-BE49-F238E27FC236}">
              <a16:creationId xmlns:a16="http://schemas.microsoft.com/office/drawing/2014/main" id="{A072C3F7-7416-6AAD-9713-BD51503F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274" name="Picture 273" descr="England">
          <a:extLst>
            <a:ext uri="{FF2B5EF4-FFF2-40B4-BE49-F238E27FC236}">
              <a16:creationId xmlns:a16="http://schemas.microsoft.com/office/drawing/2014/main" id="{23F99CD5-BB0B-957C-D6C9-2F0B73A2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275" name="Picture 274" descr="Spain">
          <a:extLst>
            <a:ext uri="{FF2B5EF4-FFF2-40B4-BE49-F238E27FC236}">
              <a16:creationId xmlns:a16="http://schemas.microsoft.com/office/drawing/2014/main" id="{FDA71245-31F5-5CD5-ABCB-467C5B299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276" name="Picture 275" descr="United States">
          <a:extLst>
            <a:ext uri="{FF2B5EF4-FFF2-40B4-BE49-F238E27FC236}">
              <a16:creationId xmlns:a16="http://schemas.microsoft.com/office/drawing/2014/main" id="{F3485A66-3693-F6D5-4C2F-F5156601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277" name="Picture 276" descr="Australia">
          <a:extLst>
            <a:ext uri="{FF2B5EF4-FFF2-40B4-BE49-F238E27FC236}">
              <a16:creationId xmlns:a16="http://schemas.microsoft.com/office/drawing/2014/main" id="{FC4247A8-5B59-5CCE-2CA1-28F8F6E47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278" name="Picture 277" descr="France">
          <a:extLst>
            <a:ext uri="{FF2B5EF4-FFF2-40B4-BE49-F238E27FC236}">
              <a16:creationId xmlns:a16="http://schemas.microsoft.com/office/drawing/2014/main" id="{A90FEC5B-94E0-BC7D-BA3D-1C872669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279" name="Picture 278" descr="United States">
          <a:extLst>
            <a:ext uri="{FF2B5EF4-FFF2-40B4-BE49-F238E27FC236}">
              <a16:creationId xmlns:a16="http://schemas.microsoft.com/office/drawing/2014/main" id="{CE755837-8061-F4C3-D792-3FF677A4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280" name="Picture 279" descr="Austria">
          <a:extLst>
            <a:ext uri="{FF2B5EF4-FFF2-40B4-BE49-F238E27FC236}">
              <a16:creationId xmlns:a16="http://schemas.microsoft.com/office/drawing/2014/main" id="{F0427D71-CF85-5DAE-6B0F-437C5073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281" name="Picture 280" descr="United States">
          <a:extLst>
            <a:ext uri="{FF2B5EF4-FFF2-40B4-BE49-F238E27FC236}">
              <a16:creationId xmlns:a16="http://schemas.microsoft.com/office/drawing/2014/main" id="{174CD59A-E794-477E-8259-7A7128B4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282" name="Picture 281" descr="United States">
          <a:extLst>
            <a:ext uri="{FF2B5EF4-FFF2-40B4-BE49-F238E27FC236}">
              <a16:creationId xmlns:a16="http://schemas.microsoft.com/office/drawing/2014/main" id="{872851A1-58F7-7D29-5045-F243BCE3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283" name="Picture 282" descr="Belgium">
          <a:extLst>
            <a:ext uri="{FF2B5EF4-FFF2-40B4-BE49-F238E27FC236}">
              <a16:creationId xmlns:a16="http://schemas.microsoft.com/office/drawing/2014/main" id="{3E9C669A-2432-9885-B2AF-6F4B3B02D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66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284" name="Picture 283" descr="South Africa">
          <a:extLst>
            <a:ext uri="{FF2B5EF4-FFF2-40B4-BE49-F238E27FC236}">
              <a16:creationId xmlns:a16="http://schemas.microsoft.com/office/drawing/2014/main" id="{4F17D5BD-C62D-CD83-EFFE-D575BE82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07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285" name="Picture 284" descr="United States">
          <a:extLst>
            <a:ext uri="{FF2B5EF4-FFF2-40B4-BE49-F238E27FC236}">
              <a16:creationId xmlns:a16="http://schemas.microsoft.com/office/drawing/2014/main" id="{FDFAEB7E-FEB0-FF3B-0C0B-45D82380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49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286" name="Picture 285" descr="United States">
          <a:extLst>
            <a:ext uri="{FF2B5EF4-FFF2-40B4-BE49-F238E27FC236}">
              <a16:creationId xmlns:a16="http://schemas.microsoft.com/office/drawing/2014/main" id="{CF14478D-D98F-4B02-0E74-0CDC4E02E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5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351" name="Picture 350" descr="England">
          <a:extLst>
            <a:ext uri="{FF2B5EF4-FFF2-40B4-BE49-F238E27FC236}">
              <a16:creationId xmlns:a16="http://schemas.microsoft.com/office/drawing/2014/main" id="{F1000F84-0F48-E29E-CB6C-64D04DB54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352" name="Picture 351" descr="United States">
          <a:extLst>
            <a:ext uri="{FF2B5EF4-FFF2-40B4-BE49-F238E27FC236}">
              <a16:creationId xmlns:a16="http://schemas.microsoft.com/office/drawing/2014/main" id="{813C0E86-EDEE-8F21-47FF-81293015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353" name="Picture 352" descr="Northern Ireland">
          <a:extLst>
            <a:ext uri="{FF2B5EF4-FFF2-40B4-BE49-F238E27FC236}">
              <a16:creationId xmlns:a16="http://schemas.microsoft.com/office/drawing/2014/main" id="{089CBC72-72F5-E6A1-0A23-CB66E1600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354" name="Picture 353" descr="Canada">
          <a:extLst>
            <a:ext uri="{FF2B5EF4-FFF2-40B4-BE49-F238E27FC236}">
              <a16:creationId xmlns:a16="http://schemas.microsoft.com/office/drawing/2014/main" id="{2DD3E43B-9D70-2F33-664D-BE4644613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355" name="Picture 354" descr="United States">
          <a:extLst>
            <a:ext uri="{FF2B5EF4-FFF2-40B4-BE49-F238E27FC236}">
              <a16:creationId xmlns:a16="http://schemas.microsoft.com/office/drawing/2014/main" id="{E042871E-1609-C51D-E690-8B58E5C10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356" name="Picture 355" descr="Ireland">
          <a:extLst>
            <a:ext uri="{FF2B5EF4-FFF2-40B4-BE49-F238E27FC236}">
              <a16:creationId xmlns:a16="http://schemas.microsoft.com/office/drawing/2014/main" id="{768CC304-90CC-35E0-7FD7-C9B124B96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357" name="Picture 356" descr="England">
          <a:extLst>
            <a:ext uri="{FF2B5EF4-FFF2-40B4-BE49-F238E27FC236}">
              <a16:creationId xmlns:a16="http://schemas.microsoft.com/office/drawing/2014/main" id="{C31F0F11-A606-65B3-3999-E435F47A1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358" name="Picture 357" descr="United States">
          <a:extLst>
            <a:ext uri="{FF2B5EF4-FFF2-40B4-BE49-F238E27FC236}">
              <a16:creationId xmlns:a16="http://schemas.microsoft.com/office/drawing/2014/main" id="{74FC45C8-66D6-EBFF-AFF7-09470D457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359" name="Picture 358" descr="Denmark">
          <a:extLst>
            <a:ext uri="{FF2B5EF4-FFF2-40B4-BE49-F238E27FC236}">
              <a16:creationId xmlns:a16="http://schemas.microsoft.com/office/drawing/2014/main" id="{63C5E40A-F214-8209-7B73-03E331DA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360" name="Picture 359" descr="Norway">
          <a:extLst>
            <a:ext uri="{FF2B5EF4-FFF2-40B4-BE49-F238E27FC236}">
              <a16:creationId xmlns:a16="http://schemas.microsoft.com/office/drawing/2014/main" id="{22184F0E-ADBE-604D-871F-9010C55B3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361" name="Picture 360" descr="Australia">
          <a:extLst>
            <a:ext uri="{FF2B5EF4-FFF2-40B4-BE49-F238E27FC236}">
              <a16:creationId xmlns:a16="http://schemas.microsoft.com/office/drawing/2014/main" id="{15ED5A20-941A-74C3-9F08-EFA214E8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362" name="Picture 361" descr="Japan">
          <a:extLst>
            <a:ext uri="{FF2B5EF4-FFF2-40B4-BE49-F238E27FC236}">
              <a16:creationId xmlns:a16="http://schemas.microsoft.com/office/drawing/2014/main" id="{A443AEB5-1223-47B9-099E-8C599651E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363" name="Picture 362" descr="United States">
          <a:extLst>
            <a:ext uri="{FF2B5EF4-FFF2-40B4-BE49-F238E27FC236}">
              <a16:creationId xmlns:a16="http://schemas.microsoft.com/office/drawing/2014/main" id="{5F4E052F-CEB8-F27D-4324-8998E25E7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364" name="Picture 363" descr="South Korea">
          <a:extLst>
            <a:ext uri="{FF2B5EF4-FFF2-40B4-BE49-F238E27FC236}">
              <a16:creationId xmlns:a16="http://schemas.microsoft.com/office/drawing/2014/main" id="{C5D4C495-6FE9-D9C9-0B2A-B1F7EBC9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365" name="Picture 364" descr="United States">
          <a:extLst>
            <a:ext uri="{FF2B5EF4-FFF2-40B4-BE49-F238E27FC236}">
              <a16:creationId xmlns:a16="http://schemas.microsoft.com/office/drawing/2014/main" id="{17A4554D-936A-E0E5-A76C-D1EA82A7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366" name="Picture 365" descr="Sweden">
          <a:extLst>
            <a:ext uri="{FF2B5EF4-FFF2-40B4-BE49-F238E27FC236}">
              <a16:creationId xmlns:a16="http://schemas.microsoft.com/office/drawing/2014/main" id="{9EBB52F8-6446-9516-0C3D-57DA1E769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367" name="Picture 366" descr="United States">
          <a:extLst>
            <a:ext uri="{FF2B5EF4-FFF2-40B4-BE49-F238E27FC236}">
              <a16:creationId xmlns:a16="http://schemas.microsoft.com/office/drawing/2014/main" id="{CCD538A5-0B9C-2CF8-1FCB-722E52FA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368" name="Picture 367" descr="England">
          <a:extLst>
            <a:ext uri="{FF2B5EF4-FFF2-40B4-BE49-F238E27FC236}">
              <a16:creationId xmlns:a16="http://schemas.microsoft.com/office/drawing/2014/main" id="{D22406F5-8E10-DAD0-2B59-FAB751F57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369" name="Picture 368" descr="United States">
          <a:extLst>
            <a:ext uri="{FF2B5EF4-FFF2-40B4-BE49-F238E27FC236}">
              <a16:creationId xmlns:a16="http://schemas.microsoft.com/office/drawing/2014/main" id="{FEF7DFB5-3A88-1627-C683-EF62F45A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370" name="Picture 369" descr="United States">
          <a:extLst>
            <a:ext uri="{FF2B5EF4-FFF2-40B4-BE49-F238E27FC236}">
              <a16:creationId xmlns:a16="http://schemas.microsoft.com/office/drawing/2014/main" id="{4A3AF061-B279-69A8-CD4B-D87FC9C4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371" name="Picture 370" descr="United States">
          <a:extLst>
            <a:ext uri="{FF2B5EF4-FFF2-40B4-BE49-F238E27FC236}">
              <a16:creationId xmlns:a16="http://schemas.microsoft.com/office/drawing/2014/main" id="{D2F1FADE-7F4E-095C-DC3B-66721125E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372" name="Picture 371" descr="United States">
          <a:extLst>
            <a:ext uri="{FF2B5EF4-FFF2-40B4-BE49-F238E27FC236}">
              <a16:creationId xmlns:a16="http://schemas.microsoft.com/office/drawing/2014/main" id="{F9AC2FC6-3836-8DE1-A5F0-62F1D626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373" name="Picture 372" descr="Colombia">
          <a:extLst>
            <a:ext uri="{FF2B5EF4-FFF2-40B4-BE49-F238E27FC236}">
              <a16:creationId xmlns:a16="http://schemas.microsoft.com/office/drawing/2014/main" id="{BB7D2A05-11C5-7A63-2C5C-406DFFE33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374" name="Picture 373" descr="United States">
          <a:extLst>
            <a:ext uri="{FF2B5EF4-FFF2-40B4-BE49-F238E27FC236}">
              <a16:creationId xmlns:a16="http://schemas.microsoft.com/office/drawing/2014/main" id="{7A0996DE-AD0A-7199-A31E-09EE6CA49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375" name="Picture 374" descr="Australia">
          <a:extLst>
            <a:ext uri="{FF2B5EF4-FFF2-40B4-BE49-F238E27FC236}">
              <a16:creationId xmlns:a16="http://schemas.microsoft.com/office/drawing/2014/main" id="{CDDCCF29-B758-480A-5B87-7409CF0D9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376" name="Picture 375" descr="United States">
          <a:extLst>
            <a:ext uri="{FF2B5EF4-FFF2-40B4-BE49-F238E27FC236}">
              <a16:creationId xmlns:a16="http://schemas.microsoft.com/office/drawing/2014/main" id="{A2323961-F16D-B8BB-9047-6AC3D276B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377" name="Picture 376" descr="United States">
          <a:extLst>
            <a:ext uri="{FF2B5EF4-FFF2-40B4-BE49-F238E27FC236}">
              <a16:creationId xmlns:a16="http://schemas.microsoft.com/office/drawing/2014/main" id="{2EAF68BB-AB44-5342-4665-D43F7024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378" name="Picture 377" descr="United States">
          <a:extLst>
            <a:ext uri="{FF2B5EF4-FFF2-40B4-BE49-F238E27FC236}">
              <a16:creationId xmlns:a16="http://schemas.microsoft.com/office/drawing/2014/main" id="{9F9DF212-A50C-E075-960D-BABBCC710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379" name="Picture 378" descr="Canada">
          <a:extLst>
            <a:ext uri="{FF2B5EF4-FFF2-40B4-BE49-F238E27FC236}">
              <a16:creationId xmlns:a16="http://schemas.microsoft.com/office/drawing/2014/main" id="{A33D64A7-AFCC-E571-060D-0E490F9F4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380" name="Picture 379" descr="United States">
          <a:extLst>
            <a:ext uri="{FF2B5EF4-FFF2-40B4-BE49-F238E27FC236}">
              <a16:creationId xmlns:a16="http://schemas.microsoft.com/office/drawing/2014/main" id="{8F3A8355-8CD4-3BFF-4BEB-7E96126B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381" name="Picture 380" descr="United States">
          <a:extLst>
            <a:ext uri="{FF2B5EF4-FFF2-40B4-BE49-F238E27FC236}">
              <a16:creationId xmlns:a16="http://schemas.microsoft.com/office/drawing/2014/main" id="{AC81B65A-540E-B647-D4E8-9585164F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382" name="Picture 381" descr="United States">
          <a:extLst>
            <a:ext uri="{FF2B5EF4-FFF2-40B4-BE49-F238E27FC236}">
              <a16:creationId xmlns:a16="http://schemas.microsoft.com/office/drawing/2014/main" id="{656C0FB7-D8DB-31F9-F303-239CA6D7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383" name="Picture 382" descr="United States">
          <a:extLst>
            <a:ext uri="{FF2B5EF4-FFF2-40B4-BE49-F238E27FC236}">
              <a16:creationId xmlns:a16="http://schemas.microsoft.com/office/drawing/2014/main" id="{2664C74D-00F9-1E97-174D-C0DA13200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384" name="Picture 383" descr="England">
          <a:extLst>
            <a:ext uri="{FF2B5EF4-FFF2-40B4-BE49-F238E27FC236}">
              <a16:creationId xmlns:a16="http://schemas.microsoft.com/office/drawing/2014/main" id="{3B30B14C-05AA-11DD-B90A-75B219E2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385" name="Picture 384" descr="United States">
          <a:extLst>
            <a:ext uri="{FF2B5EF4-FFF2-40B4-BE49-F238E27FC236}">
              <a16:creationId xmlns:a16="http://schemas.microsoft.com/office/drawing/2014/main" id="{4DC692CE-617F-002D-4D6E-9DDC0B69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386" name="Picture 385" descr="England">
          <a:extLst>
            <a:ext uri="{FF2B5EF4-FFF2-40B4-BE49-F238E27FC236}">
              <a16:creationId xmlns:a16="http://schemas.microsoft.com/office/drawing/2014/main" id="{3A299402-3DF9-D6F7-4E7E-AC03A6DC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387" name="Picture 386" descr="South Korea">
          <a:extLst>
            <a:ext uri="{FF2B5EF4-FFF2-40B4-BE49-F238E27FC236}">
              <a16:creationId xmlns:a16="http://schemas.microsoft.com/office/drawing/2014/main" id="{DE73C4C0-CC92-E26B-D6A8-ED9D3EDD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388" name="Picture 387" descr="United States">
          <a:extLst>
            <a:ext uri="{FF2B5EF4-FFF2-40B4-BE49-F238E27FC236}">
              <a16:creationId xmlns:a16="http://schemas.microsoft.com/office/drawing/2014/main" id="{42B90DE0-7EA6-0E3A-6057-85726486D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389" name="Picture 388" descr="United States">
          <a:extLst>
            <a:ext uri="{FF2B5EF4-FFF2-40B4-BE49-F238E27FC236}">
              <a16:creationId xmlns:a16="http://schemas.microsoft.com/office/drawing/2014/main" id="{DD23D789-8173-39F9-661B-45EECCD3A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390" name="Picture 389" descr="Spain">
          <a:extLst>
            <a:ext uri="{FF2B5EF4-FFF2-40B4-BE49-F238E27FC236}">
              <a16:creationId xmlns:a16="http://schemas.microsoft.com/office/drawing/2014/main" id="{30899627-B99B-2BBE-ABBE-D3688844A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391" name="Picture 390" descr="England">
          <a:extLst>
            <a:ext uri="{FF2B5EF4-FFF2-40B4-BE49-F238E27FC236}">
              <a16:creationId xmlns:a16="http://schemas.microsoft.com/office/drawing/2014/main" id="{15013E11-BD63-6BAA-967F-A62FF5DE8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392" name="Picture 391" descr="South Africa">
          <a:extLst>
            <a:ext uri="{FF2B5EF4-FFF2-40B4-BE49-F238E27FC236}">
              <a16:creationId xmlns:a16="http://schemas.microsoft.com/office/drawing/2014/main" id="{70B1DF82-E664-40A1-8C62-EBA03020F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393" name="Picture 392" descr="United States">
          <a:extLst>
            <a:ext uri="{FF2B5EF4-FFF2-40B4-BE49-F238E27FC236}">
              <a16:creationId xmlns:a16="http://schemas.microsoft.com/office/drawing/2014/main" id="{01743EEC-878F-529D-2D5A-133177DB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394" name="Picture 393" descr="United States">
          <a:extLst>
            <a:ext uri="{FF2B5EF4-FFF2-40B4-BE49-F238E27FC236}">
              <a16:creationId xmlns:a16="http://schemas.microsoft.com/office/drawing/2014/main" id="{93A9600A-4A92-BC5B-EAA8-925B78C0E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395" name="Picture 394" descr="United States">
          <a:extLst>
            <a:ext uri="{FF2B5EF4-FFF2-40B4-BE49-F238E27FC236}">
              <a16:creationId xmlns:a16="http://schemas.microsoft.com/office/drawing/2014/main" id="{77328FCB-1D8B-1381-BEEC-D0959DB9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396" name="Picture 395" descr="United States">
          <a:extLst>
            <a:ext uri="{FF2B5EF4-FFF2-40B4-BE49-F238E27FC236}">
              <a16:creationId xmlns:a16="http://schemas.microsoft.com/office/drawing/2014/main" id="{936CD2CA-2190-3C28-1191-DD69F13A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397" name="Picture 396" descr="South Korea">
          <a:extLst>
            <a:ext uri="{FF2B5EF4-FFF2-40B4-BE49-F238E27FC236}">
              <a16:creationId xmlns:a16="http://schemas.microsoft.com/office/drawing/2014/main" id="{6611A451-F7CE-5640-3373-2595425A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398" name="Picture 397" descr="United States">
          <a:extLst>
            <a:ext uri="{FF2B5EF4-FFF2-40B4-BE49-F238E27FC236}">
              <a16:creationId xmlns:a16="http://schemas.microsoft.com/office/drawing/2014/main" id="{7815A67E-AD8E-24B9-E4E8-68B0B1D9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399" name="Picture 398" descr="Germany">
          <a:extLst>
            <a:ext uri="{FF2B5EF4-FFF2-40B4-BE49-F238E27FC236}">
              <a16:creationId xmlns:a16="http://schemas.microsoft.com/office/drawing/2014/main" id="{D3933ECB-EF3E-3BE9-7EA3-804E7339A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400" name="Picture 399" descr="Chile">
          <a:extLst>
            <a:ext uri="{FF2B5EF4-FFF2-40B4-BE49-F238E27FC236}">
              <a16:creationId xmlns:a16="http://schemas.microsoft.com/office/drawing/2014/main" id="{F4B1EC78-0CDA-3E71-49F7-9917E9A6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401" name="Picture 400" descr="United States">
          <a:extLst>
            <a:ext uri="{FF2B5EF4-FFF2-40B4-BE49-F238E27FC236}">
              <a16:creationId xmlns:a16="http://schemas.microsoft.com/office/drawing/2014/main" id="{369641A5-845D-7BB4-1571-B42FE8138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402" name="Picture 401" descr="United States">
          <a:extLst>
            <a:ext uri="{FF2B5EF4-FFF2-40B4-BE49-F238E27FC236}">
              <a16:creationId xmlns:a16="http://schemas.microsoft.com/office/drawing/2014/main" id="{A7B786A0-E919-CA48-B950-9899B58F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403" name="Picture 402" descr="United States">
          <a:extLst>
            <a:ext uri="{FF2B5EF4-FFF2-40B4-BE49-F238E27FC236}">
              <a16:creationId xmlns:a16="http://schemas.microsoft.com/office/drawing/2014/main" id="{12E8E4FE-4A3A-E7F9-3D98-62DABC40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404" name="Picture 403" descr="United States">
          <a:extLst>
            <a:ext uri="{FF2B5EF4-FFF2-40B4-BE49-F238E27FC236}">
              <a16:creationId xmlns:a16="http://schemas.microsoft.com/office/drawing/2014/main" id="{B7D41137-5F6C-97EF-7C11-2EB6870EF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405" name="Picture 404" descr="United States">
          <a:extLst>
            <a:ext uri="{FF2B5EF4-FFF2-40B4-BE49-F238E27FC236}">
              <a16:creationId xmlns:a16="http://schemas.microsoft.com/office/drawing/2014/main" id="{67D1B42A-6984-4A0E-CC49-EC14980B4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406" name="Picture 405" descr="United States">
          <a:extLst>
            <a:ext uri="{FF2B5EF4-FFF2-40B4-BE49-F238E27FC236}">
              <a16:creationId xmlns:a16="http://schemas.microsoft.com/office/drawing/2014/main" id="{8DD009B4-388B-BF07-2C9E-BE5A2B65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407" name="Picture 406" descr="Germany">
          <a:extLst>
            <a:ext uri="{FF2B5EF4-FFF2-40B4-BE49-F238E27FC236}">
              <a16:creationId xmlns:a16="http://schemas.microsoft.com/office/drawing/2014/main" id="{F72ECA2D-09FD-E358-B92B-36B3F0F12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408" name="Picture 407" descr="United States">
          <a:extLst>
            <a:ext uri="{FF2B5EF4-FFF2-40B4-BE49-F238E27FC236}">
              <a16:creationId xmlns:a16="http://schemas.microsoft.com/office/drawing/2014/main" id="{357536A0-ADDA-E4D0-CD1A-4ADF97080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409" name="Picture 408" descr="Cayman Islands">
          <a:extLst>
            <a:ext uri="{FF2B5EF4-FFF2-40B4-BE49-F238E27FC236}">
              <a16:creationId xmlns:a16="http://schemas.microsoft.com/office/drawing/2014/main" id="{F77DCBF5-001B-02D3-AAC8-D33F10CC8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410" name="Picture 409" descr="United States">
          <a:extLst>
            <a:ext uri="{FF2B5EF4-FFF2-40B4-BE49-F238E27FC236}">
              <a16:creationId xmlns:a16="http://schemas.microsoft.com/office/drawing/2014/main" id="{4750206B-694F-A41E-955C-B340EFDEA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411" name="Picture 410" descr="Puerto Rico">
          <a:extLst>
            <a:ext uri="{FF2B5EF4-FFF2-40B4-BE49-F238E27FC236}">
              <a16:creationId xmlns:a16="http://schemas.microsoft.com/office/drawing/2014/main" id="{3B1213AD-8413-818D-6168-F12E0B4F3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412" name="Picture 411" descr="Canada">
          <a:extLst>
            <a:ext uri="{FF2B5EF4-FFF2-40B4-BE49-F238E27FC236}">
              <a16:creationId xmlns:a16="http://schemas.microsoft.com/office/drawing/2014/main" id="{D9C257A3-687C-2E99-86F7-0D92FD0D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413" name="Picture 412" descr="United States">
          <a:extLst>
            <a:ext uri="{FF2B5EF4-FFF2-40B4-BE49-F238E27FC236}">
              <a16:creationId xmlns:a16="http://schemas.microsoft.com/office/drawing/2014/main" id="{4DB14B7E-07C3-A209-9F21-4884F9568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414" name="Picture 413" descr="United States">
          <a:extLst>
            <a:ext uri="{FF2B5EF4-FFF2-40B4-BE49-F238E27FC236}">
              <a16:creationId xmlns:a16="http://schemas.microsoft.com/office/drawing/2014/main" id="{44187B1C-D64C-0B7A-62BD-0C7912D76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415" name="Picture 414" descr="Spain">
          <a:extLst>
            <a:ext uri="{FF2B5EF4-FFF2-40B4-BE49-F238E27FC236}">
              <a16:creationId xmlns:a16="http://schemas.microsoft.com/office/drawing/2014/main" id="{0C54791C-0E7B-1306-C4FB-92FFB367C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416" name="Picture 415" descr="United States">
          <a:extLst>
            <a:ext uri="{FF2B5EF4-FFF2-40B4-BE49-F238E27FC236}">
              <a16:creationId xmlns:a16="http://schemas.microsoft.com/office/drawing/2014/main" id="{7073BF34-A9D9-D306-5C1A-C03EAF17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417" name="Picture 416" descr="Austria">
          <a:extLst>
            <a:ext uri="{FF2B5EF4-FFF2-40B4-BE49-F238E27FC236}">
              <a16:creationId xmlns:a16="http://schemas.microsoft.com/office/drawing/2014/main" id="{0B99882E-5BC1-5845-A895-1C026452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418" name="Picture 417" descr="Australia">
          <a:extLst>
            <a:ext uri="{FF2B5EF4-FFF2-40B4-BE49-F238E27FC236}">
              <a16:creationId xmlns:a16="http://schemas.microsoft.com/office/drawing/2014/main" id="{8FF42DB4-A98E-0194-9A55-E1525A94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419" name="Picture 418" descr="United States">
          <a:extLst>
            <a:ext uri="{FF2B5EF4-FFF2-40B4-BE49-F238E27FC236}">
              <a16:creationId xmlns:a16="http://schemas.microsoft.com/office/drawing/2014/main" id="{C007738F-B241-C7D9-01CF-258EF0348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420" name="Picture 419" descr="United States">
          <a:extLst>
            <a:ext uri="{FF2B5EF4-FFF2-40B4-BE49-F238E27FC236}">
              <a16:creationId xmlns:a16="http://schemas.microsoft.com/office/drawing/2014/main" id="{46118CB5-162C-02D8-B0A7-8BAC5E67E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421" name="Picture 420" descr="United States">
          <a:extLst>
            <a:ext uri="{FF2B5EF4-FFF2-40B4-BE49-F238E27FC236}">
              <a16:creationId xmlns:a16="http://schemas.microsoft.com/office/drawing/2014/main" id="{FB92696C-8002-2528-32D2-648B05917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422" name="Picture 421" descr="Australia">
          <a:extLst>
            <a:ext uri="{FF2B5EF4-FFF2-40B4-BE49-F238E27FC236}">
              <a16:creationId xmlns:a16="http://schemas.microsoft.com/office/drawing/2014/main" id="{34852DB1-8302-9556-AF4B-208A0B93A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423" name="Picture 422" descr="United States">
          <a:extLst>
            <a:ext uri="{FF2B5EF4-FFF2-40B4-BE49-F238E27FC236}">
              <a16:creationId xmlns:a16="http://schemas.microsoft.com/office/drawing/2014/main" id="{9A44B736-BEE6-26A1-E128-FDDDDAB2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424" name="Picture 423" descr="Denmark">
          <a:extLst>
            <a:ext uri="{FF2B5EF4-FFF2-40B4-BE49-F238E27FC236}">
              <a16:creationId xmlns:a16="http://schemas.microsoft.com/office/drawing/2014/main" id="{F5072D44-D327-E759-9245-59E584D7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425" name="Picture 424" descr="Chinese Taipei">
          <a:extLst>
            <a:ext uri="{FF2B5EF4-FFF2-40B4-BE49-F238E27FC236}">
              <a16:creationId xmlns:a16="http://schemas.microsoft.com/office/drawing/2014/main" id="{4A5208FC-D624-A618-E7A2-371A05CFC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426" name="Picture 425" descr="Venezuela">
          <a:extLst>
            <a:ext uri="{FF2B5EF4-FFF2-40B4-BE49-F238E27FC236}">
              <a16:creationId xmlns:a16="http://schemas.microsoft.com/office/drawing/2014/main" id="{0900DD02-FB58-A77B-F926-4C5926F11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427" name="Picture 426" descr="Scotland">
          <a:extLst>
            <a:ext uri="{FF2B5EF4-FFF2-40B4-BE49-F238E27FC236}">
              <a16:creationId xmlns:a16="http://schemas.microsoft.com/office/drawing/2014/main" id="{E53F4403-D36F-2096-D0CB-B7600415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428" name="Picture 427" descr="Singapore">
          <a:extLst>
            <a:ext uri="{FF2B5EF4-FFF2-40B4-BE49-F238E27FC236}">
              <a16:creationId xmlns:a16="http://schemas.microsoft.com/office/drawing/2014/main" id="{CF67DC12-31F1-675B-E790-450E4BFE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429" name="Picture 428" descr="Spain">
          <a:extLst>
            <a:ext uri="{FF2B5EF4-FFF2-40B4-BE49-F238E27FC236}">
              <a16:creationId xmlns:a16="http://schemas.microsoft.com/office/drawing/2014/main" id="{9CF0B738-C07B-6176-6D59-C0E984146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430" name="Picture 429" descr="South Africa">
          <a:extLst>
            <a:ext uri="{FF2B5EF4-FFF2-40B4-BE49-F238E27FC236}">
              <a16:creationId xmlns:a16="http://schemas.microsoft.com/office/drawing/2014/main" id="{43676715-F3B4-79DC-FBB9-E2B0897C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431" name="Picture 430" descr="United States">
          <a:extLst>
            <a:ext uri="{FF2B5EF4-FFF2-40B4-BE49-F238E27FC236}">
              <a16:creationId xmlns:a16="http://schemas.microsoft.com/office/drawing/2014/main" id="{F41C1D18-7DBB-AD24-2696-C6126C74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432" name="Picture 431" descr="United States">
          <a:extLst>
            <a:ext uri="{FF2B5EF4-FFF2-40B4-BE49-F238E27FC236}">
              <a16:creationId xmlns:a16="http://schemas.microsoft.com/office/drawing/2014/main" id="{B98F1AF9-83A4-0357-14C8-5CB6466A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433" name="Picture 432" descr="United States">
          <a:extLst>
            <a:ext uri="{FF2B5EF4-FFF2-40B4-BE49-F238E27FC236}">
              <a16:creationId xmlns:a16="http://schemas.microsoft.com/office/drawing/2014/main" id="{68DFC526-EB38-390B-70C2-4924F571B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434" name="Picture 433" descr="Canada">
          <a:extLst>
            <a:ext uri="{FF2B5EF4-FFF2-40B4-BE49-F238E27FC236}">
              <a16:creationId xmlns:a16="http://schemas.microsoft.com/office/drawing/2014/main" id="{82FFF9B2-11DC-1139-D291-1750F9396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435" name="Picture 434" descr="United States">
          <a:extLst>
            <a:ext uri="{FF2B5EF4-FFF2-40B4-BE49-F238E27FC236}">
              <a16:creationId xmlns:a16="http://schemas.microsoft.com/office/drawing/2014/main" id="{BEA036C5-1C8F-505D-EACE-7EB18C1F2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436" name="Picture 435" descr="Belgium">
          <a:extLst>
            <a:ext uri="{FF2B5EF4-FFF2-40B4-BE49-F238E27FC236}">
              <a16:creationId xmlns:a16="http://schemas.microsoft.com/office/drawing/2014/main" id="{1ACBDCF4-1D9D-8C29-3ABC-EE8DDF6BF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437" name="Picture 436" descr="United States">
          <a:extLst>
            <a:ext uri="{FF2B5EF4-FFF2-40B4-BE49-F238E27FC236}">
              <a16:creationId xmlns:a16="http://schemas.microsoft.com/office/drawing/2014/main" id="{4BADBD84-0AA3-5C59-694E-90177366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438" name="Picture 437" descr="Australia">
          <a:extLst>
            <a:ext uri="{FF2B5EF4-FFF2-40B4-BE49-F238E27FC236}">
              <a16:creationId xmlns:a16="http://schemas.microsoft.com/office/drawing/2014/main" id="{432D3696-F55F-7703-D98F-00563B555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439" name="Picture 438" descr="France">
          <a:extLst>
            <a:ext uri="{FF2B5EF4-FFF2-40B4-BE49-F238E27FC236}">
              <a16:creationId xmlns:a16="http://schemas.microsoft.com/office/drawing/2014/main" id="{79716157-8263-69AD-68F1-FF47A937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440" name="Picture 439" descr="England">
          <a:extLst>
            <a:ext uri="{FF2B5EF4-FFF2-40B4-BE49-F238E27FC236}">
              <a16:creationId xmlns:a16="http://schemas.microsoft.com/office/drawing/2014/main" id="{C9AE9557-7DF9-36C6-2367-E6EEC2399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441" name="Picture 440" descr="Spain">
          <a:extLst>
            <a:ext uri="{FF2B5EF4-FFF2-40B4-BE49-F238E27FC236}">
              <a16:creationId xmlns:a16="http://schemas.microsoft.com/office/drawing/2014/main" id="{0F5BC436-25AF-2119-6589-9D5DF10F4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20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442" name="Picture 441" descr="South Africa">
          <a:extLst>
            <a:ext uri="{FF2B5EF4-FFF2-40B4-BE49-F238E27FC236}">
              <a16:creationId xmlns:a16="http://schemas.microsoft.com/office/drawing/2014/main" id="{6CCF5543-2C05-061D-4F69-47E80D336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61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443" name="Picture 442" descr="United States">
          <a:extLst>
            <a:ext uri="{FF2B5EF4-FFF2-40B4-BE49-F238E27FC236}">
              <a16:creationId xmlns:a16="http://schemas.microsoft.com/office/drawing/2014/main" id="{3B175001-08BA-9004-8A9B-3FA82CC59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603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444" name="Picture 443" descr="Argentina">
          <a:extLst>
            <a:ext uri="{FF2B5EF4-FFF2-40B4-BE49-F238E27FC236}">
              <a16:creationId xmlns:a16="http://schemas.microsoft.com/office/drawing/2014/main" id="{676122A2-49BF-64D0-F4BE-CBD2AF66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84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508000</xdr:colOff>
      <xdr:row>106</xdr:row>
      <xdr:rowOff>76200</xdr:rowOff>
    </xdr:to>
    <xdr:pic>
      <xdr:nvPicPr>
        <xdr:cNvPr id="445" name="Picture 444" descr="United States">
          <a:extLst>
            <a:ext uri="{FF2B5EF4-FFF2-40B4-BE49-F238E27FC236}">
              <a16:creationId xmlns:a16="http://schemas.microsoft.com/office/drawing/2014/main" id="{DAE6EB58-6370-27FF-77BE-DEA4F6E7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6085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97" name="Picture 96" descr="Northern Ireland">
          <a:extLst>
            <a:ext uri="{FF2B5EF4-FFF2-40B4-BE49-F238E27FC236}">
              <a16:creationId xmlns:a16="http://schemas.microsoft.com/office/drawing/2014/main" id="{A84CD0DD-77F8-3BDB-0C06-05172253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98" name="Picture 97" descr="United States">
          <a:extLst>
            <a:ext uri="{FF2B5EF4-FFF2-40B4-BE49-F238E27FC236}">
              <a16:creationId xmlns:a16="http://schemas.microsoft.com/office/drawing/2014/main" id="{449C9BD3-6E99-4B4E-2496-896DE330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99" name="Picture 98" descr="Canada">
          <a:extLst>
            <a:ext uri="{FF2B5EF4-FFF2-40B4-BE49-F238E27FC236}">
              <a16:creationId xmlns:a16="http://schemas.microsoft.com/office/drawing/2014/main" id="{EDCC3D92-6218-416A-F53B-E22A8E1CA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100" name="Picture 99" descr="United States">
          <a:extLst>
            <a:ext uri="{FF2B5EF4-FFF2-40B4-BE49-F238E27FC236}">
              <a16:creationId xmlns:a16="http://schemas.microsoft.com/office/drawing/2014/main" id="{D541ED17-65ED-12E7-A100-9BAF3554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101" name="Picture 100" descr="Sweden">
          <a:extLst>
            <a:ext uri="{FF2B5EF4-FFF2-40B4-BE49-F238E27FC236}">
              <a16:creationId xmlns:a16="http://schemas.microsoft.com/office/drawing/2014/main" id="{6D0D1488-37A2-1DEF-5032-1D9A93403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102" name="Picture 101" descr="Australia">
          <a:extLst>
            <a:ext uri="{FF2B5EF4-FFF2-40B4-BE49-F238E27FC236}">
              <a16:creationId xmlns:a16="http://schemas.microsoft.com/office/drawing/2014/main" id="{C2EBEF3B-DA17-CADD-3EB0-C9CA87F3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103" name="Picture 102" descr="Ireland">
          <a:extLst>
            <a:ext uri="{FF2B5EF4-FFF2-40B4-BE49-F238E27FC236}">
              <a16:creationId xmlns:a16="http://schemas.microsoft.com/office/drawing/2014/main" id="{F3601198-9963-3F8F-CD87-7D02773A6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104" name="Picture 103" descr="United States">
          <a:extLst>
            <a:ext uri="{FF2B5EF4-FFF2-40B4-BE49-F238E27FC236}">
              <a16:creationId xmlns:a16="http://schemas.microsoft.com/office/drawing/2014/main" id="{4A252218-95BE-F1FB-C9A5-2C7C40A5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105" name="Picture 104" descr="England">
          <a:extLst>
            <a:ext uri="{FF2B5EF4-FFF2-40B4-BE49-F238E27FC236}">
              <a16:creationId xmlns:a16="http://schemas.microsoft.com/office/drawing/2014/main" id="{EC827B75-BABD-2F8D-61DB-B6F3A460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106" name="Picture 105" descr="United States">
          <a:extLst>
            <a:ext uri="{FF2B5EF4-FFF2-40B4-BE49-F238E27FC236}">
              <a16:creationId xmlns:a16="http://schemas.microsoft.com/office/drawing/2014/main" id="{A84F4124-56AD-A471-86E5-DCEA6CF2F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107" name="Picture 106" descr="Colombia">
          <a:extLst>
            <a:ext uri="{FF2B5EF4-FFF2-40B4-BE49-F238E27FC236}">
              <a16:creationId xmlns:a16="http://schemas.microsoft.com/office/drawing/2014/main" id="{6FE92E55-8354-3F69-B404-FE2B6570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108" name="Picture 107" descr="United States">
          <a:extLst>
            <a:ext uri="{FF2B5EF4-FFF2-40B4-BE49-F238E27FC236}">
              <a16:creationId xmlns:a16="http://schemas.microsoft.com/office/drawing/2014/main" id="{E4B00B10-5441-5050-2531-36D2FEFE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109" name="Picture 108" descr="South Korea">
          <a:extLst>
            <a:ext uri="{FF2B5EF4-FFF2-40B4-BE49-F238E27FC236}">
              <a16:creationId xmlns:a16="http://schemas.microsoft.com/office/drawing/2014/main" id="{C402AE1A-E69E-1F75-CE82-16D630612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110" name="Picture 109" descr="United States">
          <a:extLst>
            <a:ext uri="{FF2B5EF4-FFF2-40B4-BE49-F238E27FC236}">
              <a16:creationId xmlns:a16="http://schemas.microsoft.com/office/drawing/2014/main" id="{B7C10630-A284-C1D4-97DD-414E48CD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111" name="Picture 110" descr="United States">
          <a:extLst>
            <a:ext uri="{FF2B5EF4-FFF2-40B4-BE49-F238E27FC236}">
              <a16:creationId xmlns:a16="http://schemas.microsoft.com/office/drawing/2014/main" id="{AC199D02-F69B-B045-5D36-BD7FCC20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112" name="Picture 111" descr="Norway">
          <a:extLst>
            <a:ext uri="{FF2B5EF4-FFF2-40B4-BE49-F238E27FC236}">
              <a16:creationId xmlns:a16="http://schemas.microsoft.com/office/drawing/2014/main" id="{5D279E0E-BD24-2BF7-50DB-A4BF2E51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113" name="Picture 112" descr="United States">
          <a:extLst>
            <a:ext uri="{FF2B5EF4-FFF2-40B4-BE49-F238E27FC236}">
              <a16:creationId xmlns:a16="http://schemas.microsoft.com/office/drawing/2014/main" id="{13F97B73-B8ED-C5F9-712C-50A03EC4D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114" name="Picture 113" descr="United States">
          <a:extLst>
            <a:ext uri="{FF2B5EF4-FFF2-40B4-BE49-F238E27FC236}">
              <a16:creationId xmlns:a16="http://schemas.microsoft.com/office/drawing/2014/main" id="{A4958E20-09F3-B01C-DDF6-048807EE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115" name="Picture 114" descr="United States">
          <a:extLst>
            <a:ext uri="{FF2B5EF4-FFF2-40B4-BE49-F238E27FC236}">
              <a16:creationId xmlns:a16="http://schemas.microsoft.com/office/drawing/2014/main" id="{412E7ADA-D3EA-6F0F-2119-24FFC367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116" name="Picture 115" descr="England">
          <a:extLst>
            <a:ext uri="{FF2B5EF4-FFF2-40B4-BE49-F238E27FC236}">
              <a16:creationId xmlns:a16="http://schemas.microsoft.com/office/drawing/2014/main" id="{B00A4D29-54E7-693C-69A4-C6090EF2D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117" name="Picture 116" descr="United States">
          <a:extLst>
            <a:ext uri="{FF2B5EF4-FFF2-40B4-BE49-F238E27FC236}">
              <a16:creationId xmlns:a16="http://schemas.microsoft.com/office/drawing/2014/main" id="{A29B8999-8BE5-9E99-63B9-B2FCF1D9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118" name="Picture 117" descr="United States">
          <a:extLst>
            <a:ext uri="{FF2B5EF4-FFF2-40B4-BE49-F238E27FC236}">
              <a16:creationId xmlns:a16="http://schemas.microsoft.com/office/drawing/2014/main" id="{0A443E61-C4BE-F8B0-85FD-A1584077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119" name="Picture 118" descr="South Korea">
          <a:extLst>
            <a:ext uri="{FF2B5EF4-FFF2-40B4-BE49-F238E27FC236}">
              <a16:creationId xmlns:a16="http://schemas.microsoft.com/office/drawing/2014/main" id="{6C07A23E-F9BF-8478-FEAA-15DC8206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120" name="Picture 119" descr="Denmark">
          <a:extLst>
            <a:ext uri="{FF2B5EF4-FFF2-40B4-BE49-F238E27FC236}">
              <a16:creationId xmlns:a16="http://schemas.microsoft.com/office/drawing/2014/main" id="{529D9312-49F2-136D-4253-1ADC3DA5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121" name="Picture 120" descr="Spain">
          <a:extLst>
            <a:ext uri="{FF2B5EF4-FFF2-40B4-BE49-F238E27FC236}">
              <a16:creationId xmlns:a16="http://schemas.microsoft.com/office/drawing/2014/main" id="{A33651F5-16D5-B7BF-35A5-47D8A481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122" name="Picture 121" descr="Chile">
          <a:extLst>
            <a:ext uri="{FF2B5EF4-FFF2-40B4-BE49-F238E27FC236}">
              <a16:creationId xmlns:a16="http://schemas.microsoft.com/office/drawing/2014/main" id="{8C63751D-A546-42F9-9571-4174B0DC2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123" name="Picture 122" descr="United States">
          <a:extLst>
            <a:ext uri="{FF2B5EF4-FFF2-40B4-BE49-F238E27FC236}">
              <a16:creationId xmlns:a16="http://schemas.microsoft.com/office/drawing/2014/main" id="{196ACE46-7A42-1B1D-8435-780B1FC5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124" name="Picture 123" descr="United States">
          <a:extLst>
            <a:ext uri="{FF2B5EF4-FFF2-40B4-BE49-F238E27FC236}">
              <a16:creationId xmlns:a16="http://schemas.microsoft.com/office/drawing/2014/main" id="{0202DDBB-FBF8-146B-86FD-0665A6CED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125" name="Picture 124" descr="United States">
          <a:extLst>
            <a:ext uri="{FF2B5EF4-FFF2-40B4-BE49-F238E27FC236}">
              <a16:creationId xmlns:a16="http://schemas.microsoft.com/office/drawing/2014/main" id="{F7C4BDAD-9FF5-FBF3-B37A-3B0D67A84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126" name="Picture 125" descr="United States">
          <a:extLst>
            <a:ext uri="{FF2B5EF4-FFF2-40B4-BE49-F238E27FC236}">
              <a16:creationId xmlns:a16="http://schemas.microsoft.com/office/drawing/2014/main" id="{325AE77B-C0E6-F96C-C2E3-11A5A98C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127" name="Picture 126" descr="United States">
          <a:extLst>
            <a:ext uri="{FF2B5EF4-FFF2-40B4-BE49-F238E27FC236}">
              <a16:creationId xmlns:a16="http://schemas.microsoft.com/office/drawing/2014/main" id="{7422F731-96BF-A747-81CF-A7D28CCC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287" name="Picture 286" descr="United States">
          <a:extLst>
            <a:ext uri="{FF2B5EF4-FFF2-40B4-BE49-F238E27FC236}">
              <a16:creationId xmlns:a16="http://schemas.microsoft.com/office/drawing/2014/main" id="{5EA133F6-E9C0-3AA7-60BF-ABBE5CEB0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288" name="Picture 287" descr="England">
          <a:extLst>
            <a:ext uri="{FF2B5EF4-FFF2-40B4-BE49-F238E27FC236}">
              <a16:creationId xmlns:a16="http://schemas.microsoft.com/office/drawing/2014/main" id="{8E5D15F3-F22D-08B0-DE49-ADDC0AB6A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289" name="Picture 288" descr="United States">
          <a:extLst>
            <a:ext uri="{FF2B5EF4-FFF2-40B4-BE49-F238E27FC236}">
              <a16:creationId xmlns:a16="http://schemas.microsoft.com/office/drawing/2014/main" id="{0CEBDB2B-D805-EE2A-D87F-9C4E3EC2F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290" name="Picture 289" descr="United States">
          <a:extLst>
            <a:ext uri="{FF2B5EF4-FFF2-40B4-BE49-F238E27FC236}">
              <a16:creationId xmlns:a16="http://schemas.microsoft.com/office/drawing/2014/main" id="{CB5E70CE-CEF1-00E3-AEB4-BBE979B6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291" name="Picture 290" descr="England">
          <a:extLst>
            <a:ext uri="{FF2B5EF4-FFF2-40B4-BE49-F238E27FC236}">
              <a16:creationId xmlns:a16="http://schemas.microsoft.com/office/drawing/2014/main" id="{192D29B9-8180-E90E-652D-133A9DCAE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292" name="Picture 291" descr="South Africa">
          <a:extLst>
            <a:ext uri="{FF2B5EF4-FFF2-40B4-BE49-F238E27FC236}">
              <a16:creationId xmlns:a16="http://schemas.microsoft.com/office/drawing/2014/main" id="{C77555DA-B45E-E048-8301-01EF42813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293" name="Picture 292" descr="South Korea">
          <a:extLst>
            <a:ext uri="{FF2B5EF4-FFF2-40B4-BE49-F238E27FC236}">
              <a16:creationId xmlns:a16="http://schemas.microsoft.com/office/drawing/2014/main" id="{01D4B255-E05B-C25D-3CA0-A9D40FD6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294" name="Picture 293" descr="Canada">
          <a:extLst>
            <a:ext uri="{FF2B5EF4-FFF2-40B4-BE49-F238E27FC236}">
              <a16:creationId xmlns:a16="http://schemas.microsoft.com/office/drawing/2014/main" id="{CF6EBC41-768C-D167-6231-6E0CC158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295" name="Picture 294" descr="England">
          <a:extLst>
            <a:ext uri="{FF2B5EF4-FFF2-40B4-BE49-F238E27FC236}">
              <a16:creationId xmlns:a16="http://schemas.microsoft.com/office/drawing/2014/main" id="{D3B0FCFD-205E-CD2F-D6D5-3A5098AE2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296" name="Picture 295" descr="United States">
          <a:extLst>
            <a:ext uri="{FF2B5EF4-FFF2-40B4-BE49-F238E27FC236}">
              <a16:creationId xmlns:a16="http://schemas.microsoft.com/office/drawing/2014/main" id="{EBC32C68-0EDF-8DC9-AA95-AE4B157EA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297" name="Picture 296" descr="England">
          <a:extLst>
            <a:ext uri="{FF2B5EF4-FFF2-40B4-BE49-F238E27FC236}">
              <a16:creationId xmlns:a16="http://schemas.microsoft.com/office/drawing/2014/main" id="{61758A42-BDB1-3A44-4C90-9E696EBC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298" name="Picture 297" descr="United States">
          <a:extLst>
            <a:ext uri="{FF2B5EF4-FFF2-40B4-BE49-F238E27FC236}">
              <a16:creationId xmlns:a16="http://schemas.microsoft.com/office/drawing/2014/main" id="{C8C08227-4410-048A-5584-B9A3BC67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299" name="Picture 298" descr="United States">
          <a:extLst>
            <a:ext uri="{FF2B5EF4-FFF2-40B4-BE49-F238E27FC236}">
              <a16:creationId xmlns:a16="http://schemas.microsoft.com/office/drawing/2014/main" id="{26803669-B837-6A1C-7332-0EDF2C45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300" name="Picture 299" descr="Germany">
          <a:extLst>
            <a:ext uri="{FF2B5EF4-FFF2-40B4-BE49-F238E27FC236}">
              <a16:creationId xmlns:a16="http://schemas.microsoft.com/office/drawing/2014/main" id="{508C0E03-7E44-EE83-B1BC-C7BBE5746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301" name="Picture 300" descr="United States">
          <a:extLst>
            <a:ext uri="{FF2B5EF4-FFF2-40B4-BE49-F238E27FC236}">
              <a16:creationId xmlns:a16="http://schemas.microsoft.com/office/drawing/2014/main" id="{B6D86FC0-00A5-5B99-4BB7-76AEF106A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302" name="Picture 301" descr="United States">
          <a:extLst>
            <a:ext uri="{FF2B5EF4-FFF2-40B4-BE49-F238E27FC236}">
              <a16:creationId xmlns:a16="http://schemas.microsoft.com/office/drawing/2014/main" id="{75CFFBDD-356B-DE5D-F7AE-E1A37CCD1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303" name="Picture 302" descr="United States">
          <a:extLst>
            <a:ext uri="{FF2B5EF4-FFF2-40B4-BE49-F238E27FC236}">
              <a16:creationId xmlns:a16="http://schemas.microsoft.com/office/drawing/2014/main" id="{F074DE48-81D3-F4C9-D475-7516C1FD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304" name="Picture 303" descr="United States">
          <a:extLst>
            <a:ext uri="{FF2B5EF4-FFF2-40B4-BE49-F238E27FC236}">
              <a16:creationId xmlns:a16="http://schemas.microsoft.com/office/drawing/2014/main" id="{D2F5FC55-2FF0-0B2F-87DE-D470C4DF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305" name="Picture 304" descr="Australia">
          <a:extLst>
            <a:ext uri="{FF2B5EF4-FFF2-40B4-BE49-F238E27FC236}">
              <a16:creationId xmlns:a16="http://schemas.microsoft.com/office/drawing/2014/main" id="{DD7007FE-6753-B846-AF9B-313DA8FA2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306" name="Picture 305" descr="Japan">
          <a:extLst>
            <a:ext uri="{FF2B5EF4-FFF2-40B4-BE49-F238E27FC236}">
              <a16:creationId xmlns:a16="http://schemas.microsoft.com/office/drawing/2014/main" id="{5166A2D2-7238-6FF3-D8D6-0F1FE9847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307" name="Picture 306" descr="United States">
          <a:extLst>
            <a:ext uri="{FF2B5EF4-FFF2-40B4-BE49-F238E27FC236}">
              <a16:creationId xmlns:a16="http://schemas.microsoft.com/office/drawing/2014/main" id="{E442D19D-FCA9-FD55-2D5F-31EFE355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308" name="Picture 307" descr="United States">
          <a:extLst>
            <a:ext uri="{FF2B5EF4-FFF2-40B4-BE49-F238E27FC236}">
              <a16:creationId xmlns:a16="http://schemas.microsoft.com/office/drawing/2014/main" id="{FC9454D0-3F6B-3C6E-11DE-19222C92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309" name="Picture 308" descr="United States">
          <a:extLst>
            <a:ext uri="{FF2B5EF4-FFF2-40B4-BE49-F238E27FC236}">
              <a16:creationId xmlns:a16="http://schemas.microsoft.com/office/drawing/2014/main" id="{4361605E-7515-0F8C-7991-6D3FFCFD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310" name="Picture 309" descr="United States">
          <a:extLst>
            <a:ext uri="{FF2B5EF4-FFF2-40B4-BE49-F238E27FC236}">
              <a16:creationId xmlns:a16="http://schemas.microsoft.com/office/drawing/2014/main" id="{C8989A79-18C5-1B5C-73B8-2C40601B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311" name="Picture 310" descr="United States">
          <a:extLst>
            <a:ext uri="{FF2B5EF4-FFF2-40B4-BE49-F238E27FC236}">
              <a16:creationId xmlns:a16="http://schemas.microsoft.com/office/drawing/2014/main" id="{B9BF4ECF-DDF8-5ECA-CA53-952A7646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312" name="Picture 311" descr="Germany">
          <a:extLst>
            <a:ext uri="{FF2B5EF4-FFF2-40B4-BE49-F238E27FC236}">
              <a16:creationId xmlns:a16="http://schemas.microsoft.com/office/drawing/2014/main" id="{42846020-1EEF-68E7-BCD0-7F256C0B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313" name="Picture 312" descr="United States">
          <a:extLst>
            <a:ext uri="{FF2B5EF4-FFF2-40B4-BE49-F238E27FC236}">
              <a16:creationId xmlns:a16="http://schemas.microsoft.com/office/drawing/2014/main" id="{5D7DB72B-F1FD-FA64-1391-18FB0365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314" name="Picture 313" descr="Cayman Islands">
          <a:extLst>
            <a:ext uri="{FF2B5EF4-FFF2-40B4-BE49-F238E27FC236}">
              <a16:creationId xmlns:a16="http://schemas.microsoft.com/office/drawing/2014/main" id="{37CB7927-EC07-9CDB-F30F-0FA5E6063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315" name="Picture 314" descr="United States">
          <a:extLst>
            <a:ext uri="{FF2B5EF4-FFF2-40B4-BE49-F238E27FC236}">
              <a16:creationId xmlns:a16="http://schemas.microsoft.com/office/drawing/2014/main" id="{1C7A612E-14C3-E1D2-5DCD-A18CED0B4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316" name="Picture 315" descr="Puerto Rico">
          <a:extLst>
            <a:ext uri="{FF2B5EF4-FFF2-40B4-BE49-F238E27FC236}">
              <a16:creationId xmlns:a16="http://schemas.microsoft.com/office/drawing/2014/main" id="{619D89A5-05FD-7913-E79B-FFC33F1B3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317" name="Picture 316" descr="Canada">
          <a:extLst>
            <a:ext uri="{FF2B5EF4-FFF2-40B4-BE49-F238E27FC236}">
              <a16:creationId xmlns:a16="http://schemas.microsoft.com/office/drawing/2014/main" id="{85950E2B-C4EE-EAA6-54A3-443A5E1F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318" name="Picture 317" descr="United States">
          <a:extLst>
            <a:ext uri="{FF2B5EF4-FFF2-40B4-BE49-F238E27FC236}">
              <a16:creationId xmlns:a16="http://schemas.microsoft.com/office/drawing/2014/main" id="{5A2CE869-2913-6E82-580C-F82C82B9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319" name="Picture 318" descr="United States">
          <a:extLst>
            <a:ext uri="{FF2B5EF4-FFF2-40B4-BE49-F238E27FC236}">
              <a16:creationId xmlns:a16="http://schemas.microsoft.com/office/drawing/2014/main" id="{9EF80D12-2ADE-5E2D-9194-17970919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320" name="Picture 319" descr="Spain">
          <a:extLst>
            <a:ext uri="{FF2B5EF4-FFF2-40B4-BE49-F238E27FC236}">
              <a16:creationId xmlns:a16="http://schemas.microsoft.com/office/drawing/2014/main" id="{4FE04508-7A8F-C53E-40DD-C2B4FA42B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321" name="Picture 320" descr="United States">
          <a:extLst>
            <a:ext uri="{FF2B5EF4-FFF2-40B4-BE49-F238E27FC236}">
              <a16:creationId xmlns:a16="http://schemas.microsoft.com/office/drawing/2014/main" id="{261BB5EE-FDDD-D5C1-D29C-3EF302C2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322" name="Picture 321" descr="Austria">
          <a:extLst>
            <a:ext uri="{FF2B5EF4-FFF2-40B4-BE49-F238E27FC236}">
              <a16:creationId xmlns:a16="http://schemas.microsoft.com/office/drawing/2014/main" id="{5D63F898-8F8C-6EBF-7A94-91315F0C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323" name="Picture 322" descr="Australia">
          <a:extLst>
            <a:ext uri="{FF2B5EF4-FFF2-40B4-BE49-F238E27FC236}">
              <a16:creationId xmlns:a16="http://schemas.microsoft.com/office/drawing/2014/main" id="{3EFAF5A0-18D0-8725-C95D-D933B242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324" name="Picture 323" descr="United States">
          <a:extLst>
            <a:ext uri="{FF2B5EF4-FFF2-40B4-BE49-F238E27FC236}">
              <a16:creationId xmlns:a16="http://schemas.microsoft.com/office/drawing/2014/main" id="{3D0FA2AD-4C13-9867-A8AB-649BB9B08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325" name="Picture 324" descr="United States">
          <a:extLst>
            <a:ext uri="{FF2B5EF4-FFF2-40B4-BE49-F238E27FC236}">
              <a16:creationId xmlns:a16="http://schemas.microsoft.com/office/drawing/2014/main" id="{1AD160C7-BD4A-6D68-9966-B818766E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326" name="Picture 325" descr="United States">
          <a:extLst>
            <a:ext uri="{FF2B5EF4-FFF2-40B4-BE49-F238E27FC236}">
              <a16:creationId xmlns:a16="http://schemas.microsoft.com/office/drawing/2014/main" id="{1C18AA1B-C022-DE5C-9FBA-B12F2945D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327" name="Picture 326" descr="Australia">
          <a:extLst>
            <a:ext uri="{FF2B5EF4-FFF2-40B4-BE49-F238E27FC236}">
              <a16:creationId xmlns:a16="http://schemas.microsoft.com/office/drawing/2014/main" id="{4F1899F6-DFE3-3CE0-2A24-F752374CA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328" name="Picture 327" descr="United States">
          <a:extLst>
            <a:ext uri="{FF2B5EF4-FFF2-40B4-BE49-F238E27FC236}">
              <a16:creationId xmlns:a16="http://schemas.microsoft.com/office/drawing/2014/main" id="{56AD8203-360A-C44B-F6F6-2DAA4BD8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329" name="Picture 328" descr="Denmark">
          <a:extLst>
            <a:ext uri="{FF2B5EF4-FFF2-40B4-BE49-F238E27FC236}">
              <a16:creationId xmlns:a16="http://schemas.microsoft.com/office/drawing/2014/main" id="{BEC2C39E-D7A7-08E3-6851-99CC42331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330" name="Picture 329" descr="Chinese Taipei">
          <a:extLst>
            <a:ext uri="{FF2B5EF4-FFF2-40B4-BE49-F238E27FC236}">
              <a16:creationId xmlns:a16="http://schemas.microsoft.com/office/drawing/2014/main" id="{ABB3A5FD-8E4E-B5C3-4835-416279F2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331" name="Picture 330" descr="Venezuela">
          <a:extLst>
            <a:ext uri="{FF2B5EF4-FFF2-40B4-BE49-F238E27FC236}">
              <a16:creationId xmlns:a16="http://schemas.microsoft.com/office/drawing/2014/main" id="{A64BE0B5-5D16-82C6-443B-807D8BC3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332" name="Picture 331" descr="Scotland">
          <a:extLst>
            <a:ext uri="{FF2B5EF4-FFF2-40B4-BE49-F238E27FC236}">
              <a16:creationId xmlns:a16="http://schemas.microsoft.com/office/drawing/2014/main" id="{CA8B04C5-7325-894A-4C42-057CDE695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333" name="Picture 332" descr="Singapore">
          <a:extLst>
            <a:ext uri="{FF2B5EF4-FFF2-40B4-BE49-F238E27FC236}">
              <a16:creationId xmlns:a16="http://schemas.microsoft.com/office/drawing/2014/main" id="{80A8488F-3943-F980-715F-89A06F128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334" name="Picture 333" descr="Spain">
          <a:extLst>
            <a:ext uri="{FF2B5EF4-FFF2-40B4-BE49-F238E27FC236}">
              <a16:creationId xmlns:a16="http://schemas.microsoft.com/office/drawing/2014/main" id="{ADA3DB31-C961-E2EE-043B-0B8CA078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335" name="Picture 334" descr="South Africa">
          <a:extLst>
            <a:ext uri="{FF2B5EF4-FFF2-40B4-BE49-F238E27FC236}">
              <a16:creationId xmlns:a16="http://schemas.microsoft.com/office/drawing/2014/main" id="{819DF67B-A7A6-8A6B-2DB6-108F4628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336" name="Picture 335" descr="United States">
          <a:extLst>
            <a:ext uri="{FF2B5EF4-FFF2-40B4-BE49-F238E27FC236}">
              <a16:creationId xmlns:a16="http://schemas.microsoft.com/office/drawing/2014/main" id="{971B638B-5EF3-8985-5A74-903E428A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337" name="Picture 336" descr="United States">
          <a:extLst>
            <a:ext uri="{FF2B5EF4-FFF2-40B4-BE49-F238E27FC236}">
              <a16:creationId xmlns:a16="http://schemas.microsoft.com/office/drawing/2014/main" id="{C1260EC6-45BD-BB53-A576-C0A010AF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338" name="Picture 337" descr="United States">
          <a:extLst>
            <a:ext uri="{FF2B5EF4-FFF2-40B4-BE49-F238E27FC236}">
              <a16:creationId xmlns:a16="http://schemas.microsoft.com/office/drawing/2014/main" id="{0766596F-A865-28C2-9263-E5FD0AA3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339" name="Picture 338" descr="Canada">
          <a:extLst>
            <a:ext uri="{FF2B5EF4-FFF2-40B4-BE49-F238E27FC236}">
              <a16:creationId xmlns:a16="http://schemas.microsoft.com/office/drawing/2014/main" id="{181F717A-5ADB-60C9-68E4-21DFDA2CC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340" name="Picture 339" descr="United States">
          <a:extLst>
            <a:ext uri="{FF2B5EF4-FFF2-40B4-BE49-F238E27FC236}">
              <a16:creationId xmlns:a16="http://schemas.microsoft.com/office/drawing/2014/main" id="{23347AAE-242B-B170-E0AD-1B8CD51E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341" name="Picture 340" descr="Belgium">
          <a:extLst>
            <a:ext uri="{FF2B5EF4-FFF2-40B4-BE49-F238E27FC236}">
              <a16:creationId xmlns:a16="http://schemas.microsoft.com/office/drawing/2014/main" id="{5BE73852-9A90-F0D0-D853-99CD6EAF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342" name="Picture 341" descr="United States">
          <a:extLst>
            <a:ext uri="{FF2B5EF4-FFF2-40B4-BE49-F238E27FC236}">
              <a16:creationId xmlns:a16="http://schemas.microsoft.com/office/drawing/2014/main" id="{A25F527A-F69A-4256-C08B-C487CFEC2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343" name="Picture 342" descr="Australia">
          <a:extLst>
            <a:ext uri="{FF2B5EF4-FFF2-40B4-BE49-F238E27FC236}">
              <a16:creationId xmlns:a16="http://schemas.microsoft.com/office/drawing/2014/main" id="{CCCEAC7C-121E-D755-34AF-F577350B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344" name="Picture 343" descr="France">
          <a:extLst>
            <a:ext uri="{FF2B5EF4-FFF2-40B4-BE49-F238E27FC236}">
              <a16:creationId xmlns:a16="http://schemas.microsoft.com/office/drawing/2014/main" id="{126C284C-0739-2517-98B6-75BC00271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345" name="Picture 344" descr="England">
          <a:extLst>
            <a:ext uri="{FF2B5EF4-FFF2-40B4-BE49-F238E27FC236}">
              <a16:creationId xmlns:a16="http://schemas.microsoft.com/office/drawing/2014/main" id="{3452D283-E8A7-4A9D-84A7-2E1E45F8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346" name="Picture 345" descr="Spain">
          <a:extLst>
            <a:ext uri="{FF2B5EF4-FFF2-40B4-BE49-F238E27FC236}">
              <a16:creationId xmlns:a16="http://schemas.microsoft.com/office/drawing/2014/main" id="{2A0C34C0-AE9B-CA48-9203-092D6ED3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20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347" name="Picture 346" descr="South Africa">
          <a:extLst>
            <a:ext uri="{FF2B5EF4-FFF2-40B4-BE49-F238E27FC236}">
              <a16:creationId xmlns:a16="http://schemas.microsoft.com/office/drawing/2014/main" id="{5657320F-7DF8-788A-E58A-12FF23DCF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61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348" name="Picture 347" descr="United States">
          <a:extLst>
            <a:ext uri="{FF2B5EF4-FFF2-40B4-BE49-F238E27FC236}">
              <a16:creationId xmlns:a16="http://schemas.microsoft.com/office/drawing/2014/main" id="{B85E716C-FE0E-EA7D-87F9-D819DFCDB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603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349" name="Picture 348" descr="Argentina">
          <a:extLst>
            <a:ext uri="{FF2B5EF4-FFF2-40B4-BE49-F238E27FC236}">
              <a16:creationId xmlns:a16="http://schemas.microsoft.com/office/drawing/2014/main" id="{E91EDBF6-1FF7-A066-BA05-42856585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844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508000</xdr:colOff>
      <xdr:row>106</xdr:row>
      <xdr:rowOff>76200</xdr:rowOff>
    </xdr:to>
    <xdr:pic>
      <xdr:nvPicPr>
        <xdr:cNvPr id="350" name="Picture 349" descr="United States">
          <a:extLst>
            <a:ext uri="{FF2B5EF4-FFF2-40B4-BE49-F238E27FC236}">
              <a16:creationId xmlns:a16="http://schemas.microsoft.com/office/drawing/2014/main" id="{D1D0844D-FB4A-2453-3CAC-4F3E2412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6085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541" name="Picture 540" descr="England">
          <a:extLst>
            <a:ext uri="{FF2B5EF4-FFF2-40B4-BE49-F238E27FC236}">
              <a16:creationId xmlns:a16="http://schemas.microsoft.com/office/drawing/2014/main" id="{0E7CFE9D-70E7-2765-804B-A7DBF7E3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542" name="Picture 541" descr="Japan">
          <a:extLst>
            <a:ext uri="{FF2B5EF4-FFF2-40B4-BE49-F238E27FC236}">
              <a16:creationId xmlns:a16="http://schemas.microsoft.com/office/drawing/2014/main" id="{FB093608-65E3-E5A2-3ABF-3E72BD4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543" name="Picture 542" descr="United States">
          <a:extLst>
            <a:ext uri="{FF2B5EF4-FFF2-40B4-BE49-F238E27FC236}">
              <a16:creationId xmlns:a16="http://schemas.microsoft.com/office/drawing/2014/main" id="{C6888971-0E9B-24DB-E20D-99E6635E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544" name="Picture 543" descr="United States">
          <a:extLst>
            <a:ext uri="{FF2B5EF4-FFF2-40B4-BE49-F238E27FC236}">
              <a16:creationId xmlns:a16="http://schemas.microsoft.com/office/drawing/2014/main" id="{BD76721C-BBE3-50B5-2D3B-8B18E6F2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545" name="Picture 544" descr="United States">
          <a:extLst>
            <a:ext uri="{FF2B5EF4-FFF2-40B4-BE49-F238E27FC236}">
              <a16:creationId xmlns:a16="http://schemas.microsoft.com/office/drawing/2014/main" id="{77090634-78B6-3605-7DCE-3E009E6FE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546" name="Picture 545" descr="United States">
          <a:extLst>
            <a:ext uri="{FF2B5EF4-FFF2-40B4-BE49-F238E27FC236}">
              <a16:creationId xmlns:a16="http://schemas.microsoft.com/office/drawing/2014/main" id="{6B141E0A-FDE3-0A07-9352-22CD72751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547" name="Picture 546" descr="United States">
          <a:extLst>
            <a:ext uri="{FF2B5EF4-FFF2-40B4-BE49-F238E27FC236}">
              <a16:creationId xmlns:a16="http://schemas.microsoft.com/office/drawing/2014/main" id="{AD5AE9C3-DD87-743A-1745-CED701660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548" name="Picture 547" descr="South Korea">
          <a:extLst>
            <a:ext uri="{FF2B5EF4-FFF2-40B4-BE49-F238E27FC236}">
              <a16:creationId xmlns:a16="http://schemas.microsoft.com/office/drawing/2014/main" id="{E0490527-4C2A-A2C8-3022-0DA1FF45C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549" name="Picture 548" descr="Spain">
          <a:extLst>
            <a:ext uri="{FF2B5EF4-FFF2-40B4-BE49-F238E27FC236}">
              <a16:creationId xmlns:a16="http://schemas.microsoft.com/office/drawing/2014/main" id="{47A713D4-8B01-170F-8731-148264559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550" name="Picture 549" descr="United States">
          <a:extLst>
            <a:ext uri="{FF2B5EF4-FFF2-40B4-BE49-F238E27FC236}">
              <a16:creationId xmlns:a16="http://schemas.microsoft.com/office/drawing/2014/main" id="{6B5989E8-488F-3923-BBF7-79E23DE1E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551" name="Picture 550" descr="United States">
          <a:extLst>
            <a:ext uri="{FF2B5EF4-FFF2-40B4-BE49-F238E27FC236}">
              <a16:creationId xmlns:a16="http://schemas.microsoft.com/office/drawing/2014/main" id="{A0E1865F-E4A2-1A81-3DB1-FD10D4B78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552" name="Picture 551" descr="England">
          <a:extLst>
            <a:ext uri="{FF2B5EF4-FFF2-40B4-BE49-F238E27FC236}">
              <a16:creationId xmlns:a16="http://schemas.microsoft.com/office/drawing/2014/main" id="{112D8982-A206-AD58-3EE3-CD269616A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553" name="Picture 552" descr="United States">
          <a:extLst>
            <a:ext uri="{FF2B5EF4-FFF2-40B4-BE49-F238E27FC236}">
              <a16:creationId xmlns:a16="http://schemas.microsoft.com/office/drawing/2014/main" id="{66C45166-9D33-3AB9-86F0-85230676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554" name="Picture 553" descr="England">
          <a:extLst>
            <a:ext uri="{FF2B5EF4-FFF2-40B4-BE49-F238E27FC236}">
              <a16:creationId xmlns:a16="http://schemas.microsoft.com/office/drawing/2014/main" id="{23757F73-23B0-B9F3-F1AB-003B7F5E8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555" name="Picture 554" descr="United States">
          <a:extLst>
            <a:ext uri="{FF2B5EF4-FFF2-40B4-BE49-F238E27FC236}">
              <a16:creationId xmlns:a16="http://schemas.microsoft.com/office/drawing/2014/main" id="{F95999C6-B967-2EA4-7B01-C17959777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556" name="Picture 555" descr="Australia">
          <a:extLst>
            <a:ext uri="{FF2B5EF4-FFF2-40B4-BE49-F238E27FC236}">
              <a16:creationId xmlns:a16="http://schemas.microsoft.com/office/drawing/2014/main" id="{92600743-19EC-0398-AD46-7FC119E4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557" name="Picture 556" descr="United States">
          <a:extLst>
            <a:ext uri="{FF2B5EF4-FFF2-40B4-BE49-F238E27FC236}">
              <a16:creationId xmlns:a16="http://schemas.microsoft.com/office/drawing/2014/main" id="{0F4D0213-D678-54B0-9A40-7BC5F8F7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558" name="Picture 557" descr="United States">
          <a:extLst>
            <a:ext uri="{FF2B5EF4-FFF2-40B4-BE49-F238E27FC236}">
              <a16:creationId xmlns:a16="http://schemas.microsoft.com/office/drawing/2014/main" id="{7F1E3209-24A0-8172-B5F3-A32DDBA7B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559" name="Picture 558" descr="United States">
          <a:extLst>
            <a:ext uri="{FF2B5EF4-FFF2-40B4-BE49-F238E27FC236}">
              <a16:creationId xmlns:a16="http://schemas.microsoft.com/office/drawing/2014/main" id="{CE4CF8C3-5B4E-DA9F-635B-1B1C74897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560" name="Picture 559" descr="United States">
          <a:extLst>
            <a:ext uri="{FF2B5EF4-FFF2-40B4-BE49-F238E27FC236}">
              <a16:creationId xmlns:a16="http://schemas.microsoft.com/office/drawing/2014/main" id="{477D1A8F-1B6A-8412-4059-C4F3AFA2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561" name="Picture 560" descr="England">
          <a:extLst>
            <a:ext uri="{FF2B5EF4-FFF2-40B4-BE49-F238E27FC236}">
              <a16:creationId xmlns:a16="http://schemas.microsoft.com/office/drawing/2014/main" id="{12A37246-BC54-928C-FA7A-EC7A851A3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562" name="Picture 561" descr="United States">
          <a:extLst>
            <a:ext uri="{FF2B5EF4-FFF2-40B4-BE49-F238E27FC236}">
              <a16:creationId xmlns:a16="http://schemas.microsoft.com/office/drawing/2014/main" id="{3769BAE7-9D0F-42F5-B917-49DD5AD75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563" name="Picture 562" descr="South Korea">
          <a:extLst>
            <a:ext uri="{FF2B5EF4-FFF2-40B4-BE49-F238E27FC236}">
              <a16:creationId xmlns:a16="http://schemas.microsoft.com/office/drawing/2014/main" id="{7E221A91-75E9-AD17-3C73-1D1B15E35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564" name="Picture 563" descr="United States">
          <a:extLst>
            <a:ext uri="{FF2B5EF4-FFF2-40B4-BE49-F238E27FC236}">
              <a16:creationId xmlns:a16="http://schemas.microsoft.com/office/drawing/2014/main" id="{988DB328-6AD8-1833-9481-A58667375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565" name="Picture 564" descr="United States">
          <a:extLst>
            <a:ext uri="{FF2B5EF4-FFF2-40B4-BE49-F238E27FC236}">
              <a16:creationId xmlns:a16="http://schemas.microsoft.com/office/drawing/2014/main" id="{CA92A42B-1ED2-7257-15B3-5819DC86E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566" name="Picture 565" descr="United States">
          <a:extLst>
            <a:ext uri="{FF2B5EF4-FFF2-40B4-BE49-F238E27FC236}">
              <a16:creationId xmlns:a16="http://schemas.microsoft.com/office/drawing/2014/main" id="{670D04A6-27F1-1BC1-23AF-A8C81554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567" name="Picture 566" descr="United States">
          <a:extLst>
            <a:ext uri="{FF2B5EF4-FFF2-40B4-BE49-F238E27FC236}">
              <a16:creationId xmlns:a16="http://schemas.microsoft.com/office/drawing/2014/main" id="{16385A8F-4129-57D9-55C2-564E5E1E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568" name="Picture 567" descr="United States">
          <a:extLst>
            <a:ext uri="{FF2B5EF4-FFF2-40B4-BE49-F238E27FC236}">
              <a16:creationId xmlns:a16="http://schemas.microsoft.com/office/drawing/2014/main" id="{C9974529-6262-CFB4-9FB5-0374905E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569" name="Picture 568" descr="United States">
          <a:extLst>
            <a:ext uri="{FF2B5EF4-FFF2-40B4-BE49-F238E27FC236}">
              <a16:creationId xmlns:a16="http://schemas.microsoft.com/office/drawing/2014/main" id="{47A0E087-B8B2-07FA-0A74-A9A20BB8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570" name="Picture 569" descr="Northern Ireland">
          <a:extLst>
            <a:ext uri="{FF2B5EF4-FFF2-40B4-BE49-F238E27FC236}">
              <a16:creationId xmlns:a16="http://schemas.microsoft.com/office/drawing/2014/main" id="{F51D5833-8DE5-2CD4-B45B-D91C67923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571" name="Picture 570" descr="Sweden">
          <a:extLst>
            <a:ext uri="{FF2B5EF4-FFF2-40B4-BE49-F238E27FC236}">
              <a16:creationId xmlns:a16="http://schemas.microsoft.com/office/drawing/2014/main" id="{412302DD-EE61-1E25-C3D9-F20BB431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572" name="Picture 571" descr="United States">
          <a:extLst>
            <a:ext uri="{FF2B5EF4-FFF2-40B4-BE49-F238E27FC236}">
              <a16:creationId xmlns:a16="http://schemas.microsoft.com/office/drawing/2014/main" id="{1852B366-0E68-9770-04E4-DA10FDD6D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573" name="Picture 572" descr="Chile">
          <a:extLst>
            <a:ext uri="{FF2B5EF4-FFF2-40B4-BE49-F238E27FC236}">
              <a16:creationId xmlns:a16="http://schemas.microsoft.com/office/drawing/2014/main" id="{F980C650-2257-08C2-B630-CE33BBEE3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574" name="Picture 573" descr="South Africa">
          <a:extLst>
            <a:ext uri="{FF2B5EF4-FFF2-40B4-BE49-F238E27FC236}">
              <a16:creationId xmlns:a16="http://schemas.microsoft.com/office/drawing/2014/main" id="{FE2FC61B-F303-DFE0-B982-DF563F6E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575" name="Picture 574" descr="Norway">
          <a:extLst>
            <a:ext uri="{FF2B5EF4-FFF2-40B4-BE49-F238E27FC236}">
              <a16:creationId xmlns:a16="http://schemas.microsoft.com/office/drawing/2014/main" id="{ED6ABAC0-4C17-59EE-CC31-0811C5143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576" name="Picture 575" descr="United States">
          <a:extLst>
            <a:ext uri="{FF2B5EF4-FFF2-40B4-BE49-F238E27FC236}">
              <a16:creationId xmlns:a16="http://schemas.microsoft.com/office/drawing/2014/main" id="{4DA3115F-F55E-8028-EB16-46AA34C3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577" name="Picture 576" descr="Canada">
          <a:extLst>
            <a:ext uri="{FF2B5EF4-FFF2-40B4-BE49-F238E27FC236}">
              <a16:creationId xmlns:a16="http://schemas.microsoft.com/office/drawing/2014/main" id="{34CFDA7D-DD50-FC3E-144D-B3D7E769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578" name="Picture 577" descr="England">
          <a:extLst>
            <a:ext uri="{FF2B5EF4-FFF2-40B4-BE49-F238E27FC236}">
              <a16:creationId xmlns:a16="http://schemas.microsoft.com/office/drawing/2014/main" id="{59D1C4FD-74E5-D52B-FF08-C523A7AD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579" name="Picture 578" descr="England">
          <a:extLst>
            <a:ext uri="{FF2B5EF4-FFF2-40B4-BE49-F238E27FC236}">
              <a16:creationId xmlns:a16="http://schemas.microsoft.com/office/drawing/2014/main" id="{43D89532-32A7-5492-5476-680046EB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580" name="Picture 579" descr="United States">
          <a:extLst>
            <a:ext uri="{FF2B5EF4-FFF2-40B4-BE49-F238E27FC236}">
              <a16:creationId xmlns:a16="http://schemas.microsoft.com/office/drawing/2014/main" id="{7FF6F32D-785D-25CE-49C1-C3EE4FDE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581" name="Picture 580" descr="United States">
          <a:extLst>
            <a:ext uri="{FF2B5EF4-FFF2-40B4-BE49-F238E27FC236}">
              <a16:creationId xmlns:a16="http://schemas.microsoft.com/office/drawing/2014/main" id="{C40AAAF2-D7DF-ED29-4A11-43BCAF7F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582" name="Picture 581" descr="Denmark">
          <a:extLst>
            <a:ext uri="{FF2B5EF4-FFF2-40B4-BE49-F238E27FC236}">
              <a16:creationId xmlns:a16="http://schemas.microsoft.com/office/drawing/2014/main" id="{4133DAA9-0C63-5540-6A68-042D50D24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583" name="Picture 582" descr="United States">
          <a:extLst>
            <a:ext uri="{FF2B5EF4-FFF2-40B4-BE49-F238E27FC236}">
              <a16:creationId xmlns:a16="http://schemas.microsoft.com/office/drawing/2014/main" id="{7A8ED2A9-3D05-D4C4-A403-F93FF129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584" name="Picture 583" descr="Australia">
          <a:extLst>
            <a:ext uri="{FF2B5EF4-FFF2-40B4-BE49-F238E27FC236}">
              <a16:creationId xmlns:a16="http://schemas.microsoft.com/office/drawing/2014/main" id="{84DA535A-8CE2-B19B-33DB-8A522F9F5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585" name="Picture 584" descr="United States">
          <a:extLst>
            <a:ext uri="{FF2B5EF4-FFF2-40B4-BE49-F238E27FC236}">
              <a16:creationId xmlns:a16="http://schemas.microsoft.com/office/drawing/2014/main" id="{FC2538CE-7807-21B7-F119-82D794486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586" name="Picture 585" descr="Canada">
          <a:extLst>
            <a:ext uri="{FF2B5EF4-FFF2-40B4-BE49-F238E27FC236}">
              <a16:creationId xmlns:a16="http://schemas.microsoft.com/office/drawing/2014/main" id="{5FF300BB-3EE8-7BFC-1BEE-149779C6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587" name="Picture 586" descr="United States">
          <a:extLst>
            <a:ext uri="{FF2B5EF4-FFF2-40B4-BE49-F238E27FC236}">
              <a16:creationId xmlns:a16="http://schemas.microsoft.com/office/drawing/2014/main" id="{842048FE-72A8-D229-12E6-651B375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588" name="Picture 587" descr="United States">
          <a:extLst>
            <a:ext uri="{FF2B5EF4-FFF2-40B4-BE49-F238E27FC236}">
              <a16:creationId xmlns:a16="http://schemas.microsoft.com/office/drawing/2014/main" id="{CDF2EE63-70B6-5F94-ACD7-22C7DE49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589" name="Picture 588" descr="Germany">
          <a:extLst>
            <a:ext uri="{FF2B5EF4-FFF2-40B4-BE49-F238E27FC236}">
              <a16:creationId xmlns:a16="http://schemas.microsoft.com/office/drawing/2014/main" id="{68B0386A-FBC1-F628-909F-2CE39CBC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590" name="Picture 589" descr="United States">
          <a:extLst>
            <a:ext uri="{FF2B5EF4-FFF2-40B4-BE49-F238E27FC236}">
              <a16:creationId xmlns:a16="http://schemas.microsoft.com/office/drawing/2014/main" id="{2F1DD275-3FF6-C00D-AFC3-9A948A4E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591" name="Picture 590" descr="South Korea">
          <a:extLst>
            <a:ext uri="{FF2B5EF4-FFF2-40B4-BE49-F238E27FC236}">
              <a16:creationId xmlns:a16="http://schemas.microsoft.com/office/drawing/2014/main" id="{C6166C4A-A1BC-7A4A-B7B9-F418A442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592" name="Picture 591" descr="Ireland">
          <a:extLst>
            <a:ext uri="{FF2B5EF4-FFF2-40B4-BE49-F238E27FC236}">
              <a16:creationId xmlns:a16="http://schemas.microsoft.com/office/drawing/2014/main" id="{5B379D81-F26F-54EF-0640-5280FC596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593" name="Picture 592" descr="Colombia">
          <a:extLst>
            <a:ext uri="{FF2B5EF4-FFF2-40B4-BE49-F238E27FC236}">
              <a16:creationId xmlns:a16="http://schemas.microsoft.com/office/drawing/2014/main" id="{BCC8B172-8D70-338C-17B9-E1B96ECA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508000</xdr:colOff>
      <xdr:row>64</xdr:row>
      <xdr:rowOff>0</xdr:rowOff>
    </xdr:to>
    <xdr:pic>
      <xdr:nvPicPr>
        <xdr:cNvPr id="594" name="Picture 593" descr="United States">
          <a:extLst>
            <a:ext uri="{FF2B5EF4-FFF2-40B4-BE49-F238E27FC236}">
              <a16:creationId xmlns:a16="http://schemas.microsoft.com/office/drawing/2014/main" id="{4A1CE9A9-A306-CC00-B37D-126A9648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2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595" name="Picture 594" descr="United States">
          <a:extLst>
            <a:ext uri="{FF2B5EF4-FFF2-40B4-BE49-F238E27FC236}">
              <a16:creationId xmlns:a16="http://schemas.microsoft.com/office/drawing/2014/main" id="{7CC7062E-FB30-F7B4-64C7-726699EC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596" name="Picture 595" descr="United States">
          <a:extLst>
            <a:ext uri="{FF2B5EF4-FFF2-40B4-BE49-F238E27FC236}">
              <a16:creationId xmlns:a16="http://schemas.microsoft.com/office/drawing/2014/main" id="{A8E38168-1950-BDC1-3E57-2482721BF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597" name="Picture 596" descr="Germany">
          <a:extLst>
            <a:ext uri="{FF2B5EF4-FFF2-40B4-BE49-F238E27FC236}">
              <a16:creationId xmlns:a16="http://schemas.microsoft.com/office/drawing/2014/main" id="{DB81826D-C535-6539-BFEF-0CF42060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598" name="Picture 597" descr="United States">
          <a:extLst>
            <a:ext uri="{FF2B5EF4-FFF2-40B4-BE49-F238E27FC236}">
              <a16:creationId xmlns:a16="http://schemas.microsoft.com/office/drawing/2014/main" id="{2BF57CFB-21CA-888E-5CC2-8CDE4766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599" name="Picture 598" descr="Cayman Islands">
          <a:extLst>
            <a:ext uri="{FF2B5EF4-FFF2-40B4-BE49-F238E27FC236}">
              <a16:creationId xmlns:a16="http://schemas.microsoft.com/office/drawing/2014/main" id="{C29C24CE-416D-93CE-EE24-72D4900D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600" name="Picture 599" descr="United States">
          <a:extLst>
            <a:ext uri="{FF2B5EF4-FFF2-40B4-BE49-F238E27FC236}">
              <a16:creationId xmlns:a16="http://schemas.microsoft.com/office/drawing/2014/main" id="{392C4672-CCE5-1D4D-127F-D73E3DFA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601" name="Picture 600" descr="Puerto Rico">
          <a:extLst>
            <a:ext uri="{FF2B5EF4-FFF2-40B4-BE49-F238E27FC236}">
              <a16:creationId xmlns:a16="http://schemas.microsoft.com/office/drawing/2014/main" id="{2CCDBC17-5BAC-E533-8A32-BA59E106E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602" name="Picture 601" descr="Canada">
          <a:extLst>
            <a:ext uri="{FF2B5EF4-FFF2-40B4-BE49-F238E27FC236}">
              <a16:creationId xmlns:a16="http://schemas.microsoft.com/office/drawing/2014/main" id="{0CF4802E-B90B-F200-0F28-69D111E2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603" name="Picture 602" descr="United States">
          <a:extLst>
            <a:ext uri="{FF2B5EF4-FFF2-40B4-BE49-F238E27FC236}">
              <a16:creationId xmlns:a16="http://schemas.microsoft.com/office/drawing/2014/main" id="{D63377C1-21AA-497F-12C4-935AE521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604" name="Picture 603" descr="United States">
          <a:extLst>
            <a:ext uri="{FF2B5EF4-FFF2-40B4-BE49-F238E27FC236}">
              <a16:creationId xmlns:a16="http://schemas.microsoft.com/office/drawing/2014/main" id="{E7B54E30-EC72-2046-614B-DF377178F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605" name="Picture 604" descr="Spain">
          <a:extLst>
            <a:ext uri="{FF2B5EF4-FFF2-40B4-BE49-F238E27FC236}">
              <a16:creationId xmlns:a16="http://schemas.microsoft.com/office/drawing/2014/main" id="{9E031638-00EC-3E43-96E5-742B02DC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0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606" name="Picture 605" descr="United States">
          <a:extLst>
            <a:ext uri="{FF2B5EF4-FFF2-40B4-BE49-F238E27FC236}">
              <a16:creationId xmlns:a16="http://schemas.microsoft.com/office/drawing/2014/main" id="{3F20797C-A59E-E383-D0FF-4431A7D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607" name="Picture 606" descr="Austria">
          <a:extLst>
            <a:ext uri="{FF2B5EF4-FFF2-40B4-BE49-F238E27FC236}">
              <a16:creationId xmlns:a16="http://schemas.microsoft.com/office/drawing/2014/main" id="{6EF8D186-8820-FFED-239B-B7F9DECC4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608" name="Picture 607" descr="Australia">
          <a:extLst>
            <a:ext uri="{FF2B5EF4-FFF2-40B4-BE49-F238E27FC236}">
              <a16:creationId xmlns:a16="http://schemas.microsoft.com/office/drawing/2014/main" id="{3B458C2E-FE8A-7919-203E-59576860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609" name="Picture 608" descr="United States">
          <a:extLst>
            <a:ext uri="{FF2B5EF4-FFF2-40B4-BE49-F238E27FC236}">
              <a16:creationId xmlns:a16="http://schemas.microsoft.com/office/drawing/2014/main" id="{44AD5257-6162-6C5E-8759-51E50D11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610" name="Picture 609" descr="United States">
          <a:extLst>
            <a:ext uri="{FF2B5EF4-FFF2-40B4-BE49-F238E27FC236}">
              <a16:creationId xmlns:a16="http://schemas.microsoft.com/office/drawing/2014/main" id="{131F7103-CF62-63F4-89B9-B279C864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611" name="Picture 610" descr="United States">
          <a:extLst>
            <a:ext uri="{FF2B5EF4-FFF2-40B4-BE49-F238E27FC236}">
              <a16:creationId xmlns:a16="http://schemas.microsoft.com/office/drawing/2014/main" id="{6F491654-E391-9DCB-67C1-16CDC44A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612" name="Picture 611" descr="Australia">
          <a:extLst>
            <a:ext uri="{FF2B5EF4-FFF2-40B4-BE49-F238E27FC236}">
              <a16:creationId xmlns:a16="http://schemas.microsoft.com/office/drawing/2014/main" id="{F49EFDD1-A17B-434A-7222-923AA48D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613" name="Picture 612" descr="United States">
          <a:extLst>
            <a:ext uri="{FF2B5EF4-FFF2-40B4-BE49-F238E27FC236}">
              <a16:creationId xmlns:a16="http://schemas.microsoft.com/office/drawing/2014/main" id="{2958736B-E28A-B4B1-3BE2-2D85C522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614" name="Picture 613" descr="Denmark">
          <a:extLst>
            <a:ext uri="{FF2B5EF4-FFF2-40B4-BE49-F238E27FC236}">
              <a16:creationId xmlns:a16="http://schemas.microsoft.com/office/drawing/2014/main" id="{BF2F1D15-682F-615A-9FE1-DE9DDA40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615" name="Picture 614" descr="Chinese Taipei">
          <a:extLst>
            <a:ext uri="{FF2B5EF4-FFF2-40B4-BE49-F238E27FC236}">
              <a16:creationId xmlns:a16="http://schemas.microsoft.com/office/drawing/2014/main" id="{4994B590-BE1F-F38F-A04B-6B03AAE38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616" name="Picture 615" descr="Venezuela">
          <a:extLst>
            <a:ext uri="{FF2B5EF4-FFF2-40B4-BE49-F238E27FC236}">
              <a16:creationId xmlns:a16="http://schemas.microsoft.com/office/drawing/2014/main" id="{10DD2876-94D6-DC6B-CA50-85861A73B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617" name="Picture 616" descr="Scotland">
          <a:extLst>
            <a:ext uri="{FF2B5EF4-FFF2-40B4-BE49-F238E27FC236}">
              <a16:creationId xmlns:a16="http://schemas.microsoft.com/office/drawing/2014/main" id="{F00BCA0A-961F-BB59-9B87-10981ADD8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618" name="Picture 617" descr="Singapore">
          <a:extLst>
            <a:ext uri="{FF2B5EF4-FFF2-40B4-BE49-F238E27FC236}">
              <a16:creationId xmlns:a16="http://schemas.microsoft.com/office/drawing/2014/main" id="{04DD43E6-2CBD-B719-02B8-269A642D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619" name="Picture 618" descr="Spain">
          <a:extLst>
            <a:ext uri="{FF2B5EF4-FFF2-40B4-BE49-F238E27FC236}">
              <a16:creationId xmlns:a16="http://schemas.microsoft.com/office/drawing/2014/main" id="{5217E0F6-303D-1753-F3A8-C8E050F8A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620" name="Picture 619" descr="South Africa">
          <a:extLst>
            <a:ext uri="{FF2B5EF4-FFF2-40B4-BE49-F238E27FC236}">
              <a16:creationId xmlns:a16="http://schemas.microsoft.com/office/drawing/2014/main" id="{76C02A2A-4AEF-429E-14C9-DAF1B3DC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621" name="Picture 620" descr="United States">
          <a:extLst>
            <a:ext uri="{FF2B5EF4-FFF2-40B4-BE49-F238E27FC236}">
              <a16:creationId xmlns:a16="http://schemas.microsoft.com/office/drawing/2014/main" id="{3EC72F1F-C1BB-9923-3BE0-40894DE3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622" name="Picture 621" descr="United States">
          <a:extLst>
            <a:ext uri="{FF2B5EF4-FFF2-40B4-BE49-F238E27FC236}">
              <a16:creationId xmlns:a16="http://schemas.microsoft.com/office/drawing/2014/main" id="{795FF179-C68E-56BA-D953-D6369B5F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623" name="Picture 622" descr="United States">
          <a:extLst>
            <a:ext uri="{FF2B5EF4-FFF2-40B4-BE49-F238E27FC236}">
              <a16:creationId xmlns:a16="http://schemas.microsoft.com/office/drawing/2014/main" id="{1464EC70-6647-AB8B-717B-1286F375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624" name="Picture 623" descr="Canada">
          <a:extLst>
            <a:ext uri="{FF2B5EF4-FFF2-40B4-BE49-F238E27FC236}">
              <a16:creationId xmlns:a16="http://schemas.microsoft.com/office/drawing/2014/main" id="{ADD8A91B-D57D-8B77-9C47-8ABF9482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625" name="Picture 624" descr="United States">
          <a:extLst>
            <a:ext uri="{FF2B5EF4-FFF2-40B4-BE49-F238E27FC236}">
              <a16:creationId xmlns:a16="http://schemas.microsoft.com/office/drawing/2014/main" id="{C25D86EA-4C7D-A331-6734-8C1A8CCB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626" name="Picture 625" descr="Belgium">
          <a:extLst>
            <a:ext uri="{FF2B5EF4-FFF2-40B4-BE49-F238E27FC236}">
              <a16:creationId xmlns:a16="http://schemas.microsoft.com/office/drawing/2014/main" id="{B6D6C364-3CF7-5959-B118-77F434817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627" name="Picture 626" descr="United States">
          <a:extLst>
            <a:ext uri="{FF2B5EF4-FFF2-40B4-BE49-F238E27FC236}">
              <a16:creationId xmlns:a16="http://schemas.microsoft.com/office/drawing/2014/main" id="{DC7F88F9-7D55-A45E-B71B-263DEC072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628" name="Picture 627" descr="Australia">
          <a:extLst>
            <a:ext uri="{FF2B5EF4-FFF2-40B4-BE49-F238E27FC236}">
              <a16:creationId xmlns:a16="http://schemas.microsoft.com/office/drawing/2014/main" id="{85C71961-6109-0BE0-38F2-45A71FF0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629" name="Picture 628" descr="France">
          <a:extLst>
            <a:ext uri="{FF2B5EF4-FFF2-40B4-BE49-F238E27FC236}">
              <a16:creationId xmlns:a16="http://schemas.microsoft.com/office/drawing/2014/main" id="{9F223F40-9C06-DE86-C023-D07ACF9D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630" name="Picture 629" descr="England">
          <a:extLst>
            <a:ext uri="{FF2B5EF4-FFF2-40B4-BE49-F238E27FC236}">
              <a16:creationId xmlns:a16="http://schemas.microsoft.com/office/drawing/2014/main" id="{F08A2E9B-2A2F-3EBC-8CF3-843559261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631" name="Picture 630" descr="Spain">
          <a:extLst>
            <a:ext uri="{FF2B5EF4-FFF2-40B4-BE49-F238E27FC236}">
              <a16:creationId xmlns:a16="http://schemas.microsoft.com/office/drawing/2014/main" id="{5676ECD7-3A6B-E91D-0335-8E732E4F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632" name="Picture 631" descr="South Africa">
          <a:extLst>
            <a:ext uri="{FF2B5EF4-FFF2-40B4-BE49-F238E27FC236}">
              <a16:creationId xmlns:a16="http://schemas.microsoft.com/office/drawing/2014/main" id="{A54A9FC5-EE98-C5B0-1D88-FBA5FAE7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66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633" name="Picture 632" descr="United States">
          <a:extLst>
            <a:ext uri="{FF2B5EF4-FFF2-40B4-BE49-F238E27FC236}">
              <a16:creationId xmlns:a16="http://schemas.microsoft.com/office/drawing/2014/main" id="{5D481FD9-B9E2-6008-8D6E-4721B1A0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07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634" name="Picture 633" descr="Argentina">
          <a:extLst>
            <a:ext uri="{FF2B5EF4-FFF2-40B4-BE49-F238E27FC236}">
              <a16:creationId xmlns:a16="http://schemas.microsoft.com/office/drawing/2014/main" id="{D4D59CBF-0CD9-4C12-DC7D-D602B51F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49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635" name="Picture 634" descr="United States">
          <a:extLst>
            <a:ext uri="{FF2B5EF4-FFF2-40B4-BE49-F238E27FC236}">
              <a16:creationId xmlns:a16="http://schemas.microsoft.com/office/drawing/2014/main" id="{DBA149AF-042A-4D02-2E47-7F195DF94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5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508000</xdr:colOff>
      <xdr:row>11</xdr:row>
      <xdr:rowOff>0</xdr:rowOff>
    </xdr:to>
    <xdr:pic>
      <xdr:nvPicPr>
        <xdr:cNvPr id="731" name="Picture 730" descr="England">
          <a:extLst>
            <a:ext uri="{FF2B5EF4-FFF2-40B4-BE49-F238E27FC236}">
              <a16:creationId xmlns:a16="http://schemas.microsoft.com/office/drawing/2014/main" id="{DC86FCB8-D714-0380-9EA9-A8ACEE32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508000</xdr:colOff>
      <xdr:row>12</xdr:row>
      <xdr:rowOff>0</xdr:rowOff>
    </xdr:to>
    <xdr:pic>
      <xdr:nvPicPr>
        <xdr:cNvPr id="732" name="Picture 731" descr="Northern Ireland">
          <a:extLst>
            <a:ext uri="{FF2B5EF4-FFF2-40B4-BE49-F238E27FC236}">
              <a16:creationId xmlns:a16="http://schemas.microsoft.com/office/drawing/2014/main" id="{2BCC3B54-569B-EB2F-59CC-9A9C1BB8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508000</xdr:colOff>
      <xdr:row>13</xdr:row>
      <xdr:rowOff>0</xdr:rowOff>
    </xdr:to>
    <xdr:pic>
      <xdr:nvPicPr>
        <xdr:cNvPr id="733" name="Picture 732" descr="United States">
          <a:extLst>
            <a:ext uri="{FF2B5EF4-FFF2-40B4-BE49-F238E27FC236}">
              <a16:creationId xmlns:a16="http://schemas.microsoft.com/office/drawing/2014/main" id="{6FC0E614-B95B-E79D-2188-538DAE51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508000</xdr:colOff>
      <xdr:row>14</xdr:row>
      <xdr:rowOff>0</xdr:rowOff>
    </xdr:to>
    <xdr:pic>
      <xdr:nvPicPr>
        <xdr:cNvPr id="734" name="Picture 733" descr="United States">
          <a:extLst>
            <a:ext uri="{FF2B5EF4-FFF2-40B4-BE49-F238E27FC236}">
              <a16:creationId xmlns:a16="http://schemas.microsoft.com/office/drawing/2014/main" id="{11AFA6EE-93A9-1B74-F341-D20A55739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2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508000</xdr:colOff>
      <xdr:row>15</xdr:row>
      <xdr:rowOff>0</xdr:rowOff>
    </xdr:to>
    <xdr:pic>
      <xdr:nvPicPr>
        <xdr:cNvPr id="735" name="Picture 734" descr="South Korea">
          <a:extLst>
            <a:ext uri="{FF2B5EF4-FFF2-40B4-BE49-F238E27FC236}">
              <a16:creationId xmlns:a16="http://schemas.microsoft.com/office/drawing/2014/main" id="{C0E22901-BC70-D3C4-9282-9F26427A7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7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508000</xdr:colOff>
      <xdr:row>16</xdr:row>
      <xdr:rowOff>0</xdr:rowOff>
    </xdr:to>
    <xdr:pic>
      <xdr:nvPicPr>
        <xdr:cNvPr id="736" name="Picture 735" descr="United States">
          <a:extLst>
            <a:ext uri="{FF2B5EF4-FFF2-40B4-BE49-F238E27FC236}">
              <a16:creationId xmlns:a16="http://schemas.microsoft.com/office/drawing/2014/main" id="{3DF1F824-390B-E6DB-1989-5B02E646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0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508000</xdr:colOff>
      <xdr:row>17</xdr:row>
      <xdr:rowOff>0</xdr:rowOff>
    </xdr:to>
    <xdr:pic>
      <xdr:nvPicPr>
        <xdr:cNvPr id="737" name="Picture 736" descr="Sweden">
          <a:extLst>
            <a:ext uri="{FF2B5EF4-FFF2-40B4-BE49-F238E27FC236}">
              <a16:creationId xmlns:a16="http://schemas.microsoft.com/office/drawing/2014/main" id="{67C435AF-73F5-C995-9522-BC1FE63CA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2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508000</xdr:colOff>
      <xdr:row>18</xdr:row>
      <xdr:rowOff>0</xdr:rowOff>
    </xdr:to>
    <xdr:pic>
      <xdr:nvPicPr>
        <xdr:cNvPr id="738" name="Picture 737" descr="United States">
          <a:extLst>
            <a:ext uri="{FF2B5EF4-FFF2-40B4-BE49-F238E27FC236}">
              <a16:creationId xmlns:a16="http://schemas.microsoft.com/office/drawing/2014/main" id="{FD7AB807-3A53-817C-892C-1E791E215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5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508000</xdr:colOff>
      <xdr:row>19</xdr:row>
      <xdr:rowOff>0</xdr:rowOff>
    </xdr:to>
    <xdr:pic>
      <xdr:nvPicPr>
        <xdr:cNvPr id="739" name="Picture 738" descr="United States">
          <a:extLst>
            <a:ext uri="{FF2B5EF4-FFF2-40B4-BE49-F238E27FC236}">
              <a16:creationId xmlns:a16="http://schemas.microsoft.com/office/drawing/2014/main" id="{F25FA149-A746-8610-197B-BAAA8EBA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508000</xdr:colOff>
      <xdr:row>20</xdr:row>
      <xdr:rowOff>0</xdr:rowOff>
    </xdr:to>
    <xdr:pic>
      <xdr:nvPicPr>
        <xdr:cNvPr id="740" name="Picture 739" descr="Australia">
          <a:extLst>
            <a:ext uri="{FF2B5EF4-FFF2-40B4-BE49-F238E27FC236}">
              <a16:creationId xmlns:a16="http://schemas.microsoft.com/office/drawing/2014/main" id="{1FF2020C-BC33-8055-6CF9-C28EBB3F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508000</xdr:colOff>
      <xdr:row>21</xdr:row>
      <xdr:rowOff>0</xdr:rowOff>
    </xdr:to>
    <xdr:pic>
      <xdr:nvPicPr>
        <xdr:cNvPr id="741" name="Picture 740" descr="Canada">
          <a:extLst>
            <a:ext uri="{FF2B5EF4-FFF2-40B4-BE49-F238E27FC236}">
              <a16:creationId xmlns:a16="http://schemas.microsoft.com/office/drawing/2014/main" id="{D7A1BF31-5AA2-30AB-F7AD-3B347408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3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508000</xdr:colOff>
      <xdr:row>22</xdr:row>
      <xdr:rowOff>0</xdr:rowOff>
    </xdr:to>
    <xdr:pic>
      <xdr:nvPicPr>
        <xdr:cNvPr id="742" name="Picture 741" descr="United States">
          <a:extLst>
            <a:ext uri="{FF2B5EF4-FFF2-40B4-BE49-F238E27FC236}">
              <a16:creationId xmlns:a16="http://schemas.microsoft.com/office/drawing/2014/main" id="{61231E98-03AD-7855-160B-55437FB01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508000</xdr:colOff>
      <xdr:row>23</xdr:row>
      <xdr:rowOff>0</xdr:rowOff>
    </xdr:to>
    <xdr:pic>
      <xdr:nvPicPr>
        <xdr:cNvPr id="743" name="Picture 742" descr="United States">
          <a:extLst>
            <a:ext uri="{FF2B5EF4-FFF2-40B4-BE49-F238E27FC236}">
              <a16:creationId xmlns:a16="http://schemas.microsoft.com/office/drawing/2014/main" id="{5C67653C-BE50-9B10-804A-00A43AB8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508000</xdr:colOff>
      <xdr:row>24</xdr:row>
      <xdr:rowOff>0</xdr:rowOff>
    </xdr:to>
    <xdr:pic>
      <xdr:nvPicPr>
        <xdr:cNvPr id="744" name="Picture 743" descr="United States">
          <a:extLst>
            <a:ext uri="{FF2B5EF4-FFF2-40B4-BE49-F238E27FC236}">
              <a16:creationId xmlns:a16="http://schemas.microsoft.com/office/drawing/2014/main" id="{64FE27F0-57F2-7052-51BE-822156C9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508000</xdr:colOff>
      <xdr:row>25</xdr:row>
      <xdr:rowOff>0</xdr:rowOff>
    </xdr:to>
    <xdr:pic>
      <xdr:nvPicPr>
        <xdr:cNvPr id="745" name="Picture 744" descr="Spain">
          <a:extLst>
            <a:ext uri="{FF2B5EF4-FFF2-40B4-BE49-F238E27FC236}">
              <a16:creationId xmlns:a16="http://schemas.microsoft.com/office/drawing/2014/main" id="{D7B2EEB3-891A-0305-1F72-7D7D6A9B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508000</xdr:colOff>
      <xdr:row>26</xdr:row>
      <xdr:rowOff>0</xdr:rowOff>
    </xdr:to>
    <xdr:pic>
      <xdr:nvPicPr>
        <xdr:cNvPr id="746" name="Picture 745" descr="United States">
          <a:extLst>
            <a:ext uri="{FF2B5EF4-FFF2-40B4-BE49-F238E27FC236}">
              <a16:creationId xmlns:a16="http://schemas.microsoft.com/office/drawing/2014/main" id="{928EEB3A-B1CC-B439-75E6-68E556E1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5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508000</xdr:colOff>
      <xdr:row>27</xdr:row>
      <xdr:rowOff>0</xdr:rowOff>
    </xdr:to>
    <xdr:pic>
      <xdr:nvPicPr>
        <xdr:cNvPr id="747" name="Picture 746" descr="United States">
          <a:extLst>
            <a:ext uri="{FF2B5EF4-FFF2-40B4-BE49-F238E27FC236}">
              <a16:creationId xmlns:a16="http://schemas.microsoft.com/office/drawing/2014/main" id="{1E76E5CB-5F19-90A9-4FF3-CBD55B57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508000</xdr:colOff>
      <xdr:row>28</xdr:row>
      <xdr:rowOff>0</xdr:rowOff>
    </xdr:to>
    <xdr:pic>
      <xdr:nvPicPr>
        <xdr:cNvPr id="748" name="Picture 747" descr="England">
          <a:extLst>
            <a:ext uri="{FF2B5EF4-FFF2-40B4-BE49-F238E27FC236}">
              <a16:creationId xmlns:a16="http://schemas.microsoft.com/office/drawing/2014/main" id="{93C4A3B7-EF87-BEAA-7C71-A6E901F4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0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508000</xdr:colOff>
      <xdr:row>29</xdr:row>
      <xdr:rowOff>0</xdr:rowOff>
    </xdr:to>
    <xdr:pic>
      <xdr:nvPicPr>
        <xdr:cNvPr id="749" name="Picture 748" descr="United States">
          <a:extLst>
            <a:ext uri="{FF2B5EF4-FFF2-40B4-BE49-F238E27FC236}">
              <a16:creationId xmlns:a16="http://schemas.microsoft.com/office/drawing/2014/main" id="{7FE609EF-F67F-20F2-5021-4DD36EBE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3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508000</xdr:colOff>
      <xdr:row>30</xdr:row>
      <xdr:rowOff>0</xdr:rowOff>
    </xdr:to>
    <xdr:pic>
      <xdr:nvPicPr>
        <xdr:cNvPr id="750" name="Picture 749" descr="United States">
          <a:extLst>
            <a:ext uri="{FF2B5EF4-FFF2-40B4-BE49-F238E27FC236}">
              <a16:creationId xmlns:a16="http://schemas.microsoft.com/office/drawing/2014/main" id="{B4437D85-41E1-ED20-D568-9A85CD56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5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508000</xdr:colOff>
      <xdr:row>31</xdr:row>
      <xdr:rowOff>0</xdr:rowOff>
    </xdr:to>
    <xdr:pic>
      <xdr:nvPicPr>
        <xdr:cNvPr id="751" name="Picture 750" descr="Japan">
          <a:extLst>
            <a:ext uri="{FF2B5EF4-FFF2-40B4-BE49-F238E27FC236}">
              <a16:creationId xmlns:a16="http://schemas.microsoft.com/office/drawing/2014/main" id="{D05541C0-69FC-44DD-AA40-FC446553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8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508000</xdr:colOff>
      <xdr:row>32</xdr:row>
      <xdr:rowOff>0</xdr:rowOff>
    </xdr:to>
    <xdr:pic>
      <xdr:nvPicPr>
        <xdr:cNvPr id="752" name="Picture 751" descr="United States">
          <a:extLst>
            <a:ext uri="{FF2B5EF4-FFF2-40B4-BE49-F238E27FC236}">
              <a16:creationId xmlns:a16="http://schemas.microsoft.com/office/drawing/2014/main" id="{99F45281-EC80-EE13-1078-ED23DD07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0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508000</xdr:colOff>
      <xdr:row>33</xdr:row>
      <xdr:rowOff>0</xdr:rowOff>
    </xdr:to>
    <xdr:pic>
      <xdr:nvPicPr>
        <xdr:cNvPr id="753" name="Picture 752" descr="United States">
          <a:extLst>
            <a:ext uri="{FF2B5EF4-FFF2-40B4-BE49-F238E27FC236}">
              <a16:creationId xmlns:a16="http://schemas.microsoft.com/office/drawing/2014/main" id="{BF27CC9D-8D88-FB8C-C77C-7C5F480F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3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508000</xdr:colOff>
      <xdr:row>34</xdr:row>
      <xdr:rowOff>0</xdr:rowOff>
    </xdr:to>
    <xdr:pic>
      <xdr:nvPicPr>
        <xdr:cNvPr id="754" name="Picture 753" descr="England">
          <a:extLst>
            <a:ext uri="{FF2B5EF4-FFF2-40B4-BE49-F238E27FC236}">
              <a16:creationId xmlns:a16="http://schemas.microsoft.com/office/drawing/2014/main" id="{684C29D5-62F5-E150-3FE3-518B7BC5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6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508000</xdr:colOff>
      <xdr:row>35</xdr:row>
      <xdr:rowOff>0</xdr:rowOff>
    </xdr:to>
    <xdr:pic>
      <xdr:nvPicPr>
        <xdr:cNvPr id="755" name="Picture 754" descr="South Korea">
          <a:extLst>
            <a:ext uri="{FF2B5EF4-FFF2-40B4-BE49-F238E27FC236}">
              <a16:creationId xmlns:a16="http://schemas.microsoft.com/office/drawing/2014/main" id="{579E688A-2115-5536-3FA1-4AE413FE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8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508000</xdr:colOff>
      <xdr:row>36</xdr:row>
      <xdr:rowOff>0</xdr:rowOff>
    </xdr:to>
    <xdr:pic>
      <xdr:nvPicPr>
        <xdr:cNvPr id="756" name="Picture 755" descr="Norway">
          <a:extLst>
            <a:ext uri="{FF2B5EF4-FFF2-40B4-BE49-F238E27FC236}">
              <a16:creationId xmlns:a16="http://schemas.microsoft.com/office/drawing/2014/main" id="{3956FD76-9A52-4458-97B2-5BC641AE2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1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508000</xdr:colOff>
      <xdr:row>37</xdr:row>
      <xdr:rowOff>0</xdr:rowOff>
    </xdr:to>
    <xdr:pic>
      <xdr:nvPicPr>
        <xdr:cNvPr id="757" name="Picture 756" descr="England">
          <a:extLst>
            <a:ext uri="{FF2B5EF4-FFF2-40B4-BE49-F238E27FC236}">
              <a16:creationId xmlns:a16="http://schemas.microsoft.com/office/drawing/2014/main" id="{3032174A-FC12-BCC2-7923-5053C8644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3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508000</xdr:colOff>
      <xdr:row>38</xdr:row>
      <xdr:rowOff>0</xdr:rowOff>
    </xdr:to>
    <xdr:pic>
      <xdr:nvPicPr>
        <xdr:cNvPr id="758" name="Picture 757" descr="United States">
          <a:extLst>
            <a:ext uri="{FF2B5EF4-FFF2-40B4-BE49-F238E27FC236}">
              <a16:creationId xmlns:a16="http://schemas.microsoft.com/office/drawing/2014/main" id="{674E3201-0E46-9C56-7490-586842B9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6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508000</xdr:colOff>
      <xdr:row>39</xdr:row>
      <xdr:rowOff>0</xdr:rowOff>
    </xdr:to>
    <xdr:pic>
      <xdr:nvPicPr>
        <xdr:cNvPr id="759" name="Picture 758" descr="United States">
          <a:extLst>
            <a:ext uri="{FF2B5EF4-FFF2-40B4-BE49-F238E27FC236}">
              <a16:creationId xmlns:a16="http://schemas.microsoft.com/office/drawing/2014/main" id="{4BDEAC7A-1CF2-799A-A56B-9F6825842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508000</xdr:colOff>
      <xdr:row>40</xdr:row>
      <xdr:rowOff>0</xdr:rowOff>
    </xdr:to>
    <xdr:pic>
      <xdr:nvPicPr>
        <xdr:cNvPr id="760" name="Picture 759" descr="United States">
          <a:extLst>
            <a:ext uri="{FF2B5EF4-FFF2-40B4-BE49-F238E27FC236}">
              <a16:creationId xmlns:a16="http://schemas.microsoft.com/office/drawing/2014/main" id="{A76E1C52-BF4B-8B76-5D29-E7F424FF9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1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508000</xdr:colOff>
      <xdr:row>41</xdr:row>
      <xdr:rowOff>0</xdr:rowOff>
    </xdr:to>
    <xdr:pic>
      <xdr:nvPicPr>
        <xdr:cNvPr id="761" name="Picture 760" descr="Chile">
          <a:extLst>
            <a:ext uri="{FF2B5EF4-FFF2-40B4-BE49-F238E27FC236}">
              <a16:creationId xmlns:a16="http://schemas.microsoft.com/office/drawing/2014/main" id="{65445118-AC65-3F0A-9D8D-7C316660B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508000</xdr:colOff>
      <xdr:row>42</xdr:row>
      <xdr:rowOff>0</xdr:rowOff>
    </xdr:to>
    <xdr:pic>
      <xdr:nvPicPr>
        <xdr:cNvPr id="762" name="Picture 761" descr="United States">
          <a:extLst>
            <a:ext uri="{FF2B5EF4-FFF2-40B4-BE49-F238E27FC236}">
              <a16:creationId xmlns:a16="http://schemas.microsoft.com/office/drawing/2014/main" id="{06D2064E-76B0-66D6-E08B-C6979ACA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508000</xdr:colOff>
      <xdr:row>43</xdr:row>
      <xdr:rowOff>0</xdr:rowOff>
    </xdr:to>
    <xdr:pic>
      <xdr:nvPicPr>
        <xdr:cNvPr id="763" name="Picture 762" descr="United States">
          <a:extLst>
            <a:ext uri="{FF2B5EF4-FFF2-40B4-BE49-F238E27FC236}">
              <a16:creationId xmlns:a16="http://schemas.microsoft.com/office/drawing/2014/main" id="{4FF02188-FC59-F074-9372-A46DDA3F8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508000</xdr:colOff>
      <xdr:row>44</xdr:row>
      <xdr:rowOff>0</xdr:rowOff>
    </xdr:to>
    <xdr:pic>
      <xdr:nvPicPr>
        <xdr:cNvPr id="764" name="Picture 763" descr="United States">
          <a:extLst>
            <a:ext uri="{FF2B5EF4-FFF2-40B4-BE49-F238E27FC236}">
              <a16:creationId xmlns:a16="http://schemas.microsoft.com/office/drawing/2014/main" id="{AD296BDF-2BF2-1ACC-D807-60AC63FE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508000</xdr:colOff>
      <xdr:row>45</xdr:row>
      <xdr:rowOff>0</xdr:rowOff>
    </xdr:to>
    <xdr:pic>
      <xdr:nvPicPr>
        <xdr:cNvPr id="765" name="Picture 764" descr="Denmark">
          <a:extLst>
            <a:ext uri="{FF2B5EF4-FFF2-40B4-BE49-F238E27FC236}">
              <a16:creationId xmlns:a16="http://schemas.microsoft.com/office/drawing/2014/main" id="{11CAD9FB-6142-9313-D404-6CBAA273F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508000</xdr:colOff>
      <xdr:row>46</xdr:row>
      <xdr:rowOff>0</xdr:rowOff>
    </xdr:to>
    <xdr:pic>
      <xdr:nvPicPr>
        <xdr:cNvPr id="766" name="Picture 765" descr="United States">
          <a:extLst>
            <a:ext uri="{FF2B5EF4-FFF2-40B4-BE49-F238E27FC236}">
              <a16:creationId xmlns:a16="http://schemas.microsoft.com/office/drawing/2014/main" id="{71AE3B43-9634-3649-7A36-21493337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508000</xdr:colOff>
      <xdr:row>47</xdr:row>
      <xdr:rowOff>0</xdr:rowOff>
    </xdr:to>
    <xdr:pic>
      <xdr:nvPicPr>
        <xdr:cNvPr id="767" name="Picture 766" descr="United States">
          <a:extLst>
            <a:ext uri="{FF2B5EF4-FFF2-40B4-BE49-F238E27FC236}">
              <a16:creationId xmlns:a16="http://schemas.microsoft.com/office/drawing/2014/main" id="{582663A5-22B1-0980-C1B7-9A3A3706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508000</xdr:colOff>
      <xdr:row>48</xdr:row>
      <xdr:rowOff>0</xdr:rowOff>
    </xdr:to>
    <xdr:pic>
      <xdr:nvPicPr>
        <xdr:cNvPr id="768" name="Picture 767" descr="United States">
          <a:extLst>
            <a:ext uri="{FF2B5EF4-FFF2-40B4-BE49-F238E27FC236}">
              <a16:creationId xmlns:a16="http://schemas.microsoft.com/office/drawing/2014/main" id="{8C0F17A3-B6BE-5F6F-A4E6-69B1CFA4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1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508000</xdr:colOff>
      <xdr:row>49</xdr:row>
      <xdr:rowOff>0</xdr:rowOff>
    </xdr:to>
    <xdr:pic>
      <xdr:nvPicPr>
        <xdr:cNvPr id="769" name="Picture 768" descr="South Africa">
          <a:extLst>
            <a:ext uri="{FF2B5EF4-FFF2-40B4-BE49-F238E27FC236}">
              <a16:creationId xmlns:a16="http://schemas.microsoft.com/office/drawing/2014/main" id="{552F62EE-D4B9-8511-FD84-5D8D2D15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508000</xdr:colOff>
      <xdr:row>50</xdr:row>
      <xdr:rowOff>0</xdr:rowOff>
    </xdr:to>
    <xdr:pic>
      <xdr:nvPicPr>
        <xdr:cNvPr id="770" name="Picture 769" descr="Canada">
          <a:extLst>
            <a:ext uri="{FF2B5EF4-FFF2-40B4-BE49-F238E27FC236}">
              <a16:creationId xmlns:a16="http://schemas.microsoft.com/office/drawing/2014/main" id="{F843C528-2EE7-A94C-3D52-4EB062F1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6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508000</xdr:colOff>
      <xdr:row>51</xdr:row>
      <xdr:rowOff>0</xdr:rowOff>
    </xdr:to>
    <xdr:pic>
      <xdr:nvPicPr>
        <xdr:cNvPr id="771" name="Picture 770" descr="England">
          <a:extLst>
            <a:ext uri="{FF2B5EF4-FFF2-40B4-BE49-F238E27FC236}">
              <a16:creationId xmlns:a16="http://schemas.microsoft.com/office/drawing/2014/main" id="{0AB8C098-F188-0AE2-2DDB-17606947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9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508000</xdr:colOff>
      <xdr:row>52</xdr:row>
      <xdr:rowOff>0</xdr:rowOff>
    </xdr:to>
    <xdr:pic>
      <xdr:nvPicPr>
        <xdr:cNvPr id="772" name="Picture 771" descr="United States">
          <a:extLst>
            <a:ext uri="{FF2B5EF4-FFF2-40B4-BE49-F238E27FC236}">
              <a16:creationId xmlns:a16="http://schemas.microsoft.com/office/drawing/2014/main" id="{A9B7F56A-CE49-F2B0-0497-981550E8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17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508000</xdr:colOff>
      <xdr:row>53</xdr:row>
      <xdr:rowOff>0</xdr:rowOff>
    </xdr:to>
    <xdr:pic>
      <xdr:nvPicPr>
        <xdr:cNvPr id="773" name="Picture 772" descr="England">
          <a:extLst>
            <a:ext uri="{FF2B5EF4-FFF2-40B4-BE49-F238E27FC236}">
              <a16:creationId xmlns:a16="http://schemas.microsoft.com/office/drawing/2014/main" id="{94034432-FB91-B1DB-C69B-2BEAAD858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43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508000</xdr:colOff>
      <xdr:row>54</xdr:row>
      <xdr:rowOff>0</xdr:rowOff>
    </xdr:to>
    <xdr:pic>
      <xdr:nvPicPr>
        <xdr:cNvPr id="774" name="Picture 773" descr="United States">
          <a:extLst>
            <a:ext uri="{FF2B5EF4-FFF2-40B4-BE49-F238E27FC236}">
              <a16:creationId xmlns:a16="http://schemas.microsoft.com/office/drawing/2014/main" id="{E05DB4ED-6CD0-4448-09B2-9B8EBB1C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68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508000</xdr:colOff>
      <xdr:row>55</xdr:row>
      <xdr:rowOff>0</xdr:rowOff>
    </xdr:to>
    <xdr:pic>
      <xdr:nvPicPr>
        <xdr:cNvPr id="775" name="Picture 774" descr="Ireland">
          <a:extLst>
            <a:ext uri="{FF2B5EF4-FFF2-40B4-BE49-F238E27FC236}">
              <a16:creationId xmlns:a16="http://schemas.microsoft.com/office/drawing/2014/main" id="{760B0E8E-B948-1D16-C00E-74664B02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94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508000</xdr:colOff>
      <xdr:row>56</xdr:row>
      <xdr:rowOff>0</xdr:rowOff>
    </xdr:to>
    <xdr:pic>
      <xdr:nvPicPr>
        <xdr:cNvPr id="776" name="Picture 775" descr="United States">
          <a:extLst>
            <a:ext uri="{FF2B5EF4-FFF2-40B4-BE49-F238E27FC236}">
              <a16:creationId xmlns:a16="http://schemas.microsoft.com/office/drawing/2014/main" id="{C616CBEC-E6DC-4F2F-58EB-E171F68C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19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508000</xdr:colOff>
      <xdr:row>57</xdr:row>
      <xdr:rowOff>0</xdr:rowOff>
    </xdr:to>
    <xdr:pic>
      <xdr:nvPicPr>
        <xdr:cNvPr id="777" name="Picture 776" descr="United States">
          <a:extLst>
            <a:ext uri="{FF2B5EF4-FFF2-40B4-BE49-F238E27FC236}">
              <a16:creationId xmlns:a16="http://schemas.microsoft.com/office/drawing/2014/main" id="{FCE5111C-070E-36F4-1CBF-393E17CA0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44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508000</xdr:colOff>
      <xdr:row>58</xdr:row>
      <xdr:rowOff>0</xdr:rowOff>
    </xdr:to>
    <xdr:pic>
      <xdr:nvPicPr>
        <xdr:cNvPr id="778" name="Picture 777" descr="United States">
          <a:extLst>
            <a:ext uri="{FF2B5EF4-FFF2-40B4-BE49-F238E27FC236}">
              <a16:creationId xmlns:a16="http://schemas.microsoft.com/office/drawing/2014/main" id="{BC6B412E-6D43-4BFB-8457-08741207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70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508000</xdr:colOff>
      <xdr:row>59</xdr:row>
      <xdr:rowOff>0</xdr:rowOff>
    </xdr:to>
    <xdr:pic>
      <xdr:nvPicPr>
        <xdr:cNvPr id="779" name="Picture 778" descr="Australia">
          <a:extLst>
            <a:ext uri="{FF2B5EF4-FFF2-40B4-BE49-F238E27FC236}">
              <a16:creationId xmlns:a16="http://schemas.microsoft.com/office/drawing/2014/main" id="{A4527E89-BA18-6F4E-45AB-4AA765FC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95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508000</xdr:colOff>
      <xdr:row>60</xdr:row>
      <xdr:rowOff>0</xdr:rowOff>
    </xdr:to>
    <xdr:pic>
      <xdr:nvPicPr>
        <xdr:cNvPr id="780" name="Picture 779" descr="United States">
          <a:extLst>
            <a:ext uri="{FF2B5EF4-FFF2-40B4-BE49-F238E27FC236}">
              <a16:creationId xmlns:a16="http://schemas.microsoft.com/office/drawing/2014/main" id="{31753C42-8641-5A86-07F0-CC178DB5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21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508000</xdr:colOff>
      <xdr:row>61</xdr:row>
      <xdr:rowOff>0</xdr:rowOff>
    </xdr:to>
    <xdr:pic>
      <xdr:nvPicPr>
        <xdr:cNvPr id="781" name="Picture 780" descr="Colombia">
          <a:extLst>
            <a:ext uri="{FF2B5EF4-FFF2-40B4-BE49-F238E27FC236}">
              <a16:creationId xmlns:a16="http://schemas.microsoft.com/office/drawing/2014/main" id="{DBB5FB8B-0C11-7126-4F1E-77C706C75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6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508000</xdr:colOff>
      <xdr:row>62</xdr:row>
      <xdr:rowOff>0</xdr:rowOff>
    </xdr:to>
    <xdr:pic>
      <xdr:nvPicPr>
        <xdr:cNvPr id="782" name="Picture 781" descr="Germany">
          <a:extLst>
            <a:ext uri="{FF2B5EF4-FFF2-40B4-BE49-F238E27FC236}">
              <a16:creationId xmlns:a16="http://schemas.microsoft.com/office/drawing/2014/main" id="{AD452971-6E17-A75A-4132-9FAFFBA8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71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508000</xdr:colOff>
      <xdr:row>63</xdr:row>
      <xdr:rowOff>0</xdr:rowOff>
    </xdr:to>
    <xdr:pic>
      <xdr:nvPicPr>
        <xdr:cNvPr id="783" name="Picture 782" descr="South Korea">
          <a:extLst>
            <a:ext uri="{FF2B5EF4-FFF2-40B4-BE49-F238E27FC236}">
              <a16:creationId xmlns:a16="http://schemas.microsoft.com/office/drawing/2014/main" id="{FCBDCE7E-AF31-CA30-E623-6118864E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7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508000</xdr:colOff>
      <xdr:row>65</xdr:row>
      <xdr:rowOff>0</xdr:rowOff>
    </xdr:to>
    <xdr:pic>
      <xdr:nvPicPr>
        <xdr:cNvPr id="784" name="Picture 783" descr="United States">
          <a:extLst>
            <a:ext uri="{FF2B5EF4-FFF2-40B4-BE49-F238E27FC236}">
              <a16:creationId xmlns:a16="http://schemas.microsoft.com/office/drawing/2014/main" id="{63AB5773-3C7D-D567-005F-192E487D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8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508000</xdr:colOff>
      <xdr:row>66</xdr:row>
      <xdr:rowOff>0</xdr:rowOff>
    </xdr:to>
    <xdr:pic>
      <xdr:nvPicPr>
        <xdr:cNvPr id="785" name="Picture 784" descr="United States">
          <a:extLst>
            <a:ext uri="{FF2B5EF4-FFF2-40B4-BE49-F238E27FC236}">
              <a16:creationId xmlns:a16="http://schemas.microsoft.com/office/drawing/2014/main" id="{45EFAD7D-2425-826A-FC30-9B1E3705F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3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508000</xdr:colOff>
      <xdr:row>67</xdr:row>
      <xdr:rowOff>0</xdr:rowOff>
    </xdr:to>
    <xdr:pic>
      <xdr:nvPicPr>
        <xdr:cNvPr id="786" name="Picture 785" descr="United States">
          <a:extLst>
            <a:ext uri="{FF2B5EF4-FFF2-40B4-BE49-F238E27FC236}">
              <a16:creationId xmlns:a16="http://schemas.microsoft.com/office/drawing/2014/main" id="{CDCE9C1A-0CDA-7B1A-0E2F-46917DD3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98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508000</xdr:colOff>
      <xdr:row>68</xdr:row>
      <xdr:rowOff>0</xdr:rowOff>
    </xdr:to>
    <xdr:pic>
      <xdr:nvPicPr>
        <xdr:cNvPr id="787" name="Picture 786" descr="Germany">
          <a:extLst>
            <a:ext uri="{FF2B5EF4-FFF2-40B4-BE49-F238E27FC236}">
              <a16:creationId xmlns:a16="http://schemas.microsoft.com/office/drawing/2014/main" id="{9822796E-156A-FD9F-79EC-D1250C42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4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508000</xdr:colOff>
      <xdr:row>69</xdr:row>
      <xdr:rowOff>0</xdr:rowOff>
    </xdr:to>
    <xdr:pic>
      <xdr:nvPicPr>
        <xdr:cNvPr id="788" name="Picture 787" descr="United States">
          <a:extLst>
            <a:ext uri="{FF2B5EF4-FFF2-40B4-BE49-F238E27FC236}">
              <a16:creationId xmlns:a16="http://schemas.microsoft.com/office/drawing/2014/main" id="{3FE629A7-DBED-E4E1-1717-FE173ED4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49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508000</xdr:colOff>
      <xdr:row>70</xdr:row>
      <xdr:rowOff>0</xdr:rowOff>
    </xdr:to>
    <xdr:pic>
      <xdr:nvPicPr>
        <xdr:cNvPr id="789" name="Picture 788" descr="Cayman Islands">
          <a:extLst>
            <a:ext uri="{FF2B5EF4-FFF2-40B4-BE49-F238E27FC236}">
              <a16:creationId xmlns:a16="http://schemas.microsoft.com/office/drawing/2014/main" id="{D12BEFA7-2C78-74BC-B08A-59C431DEC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75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508000</xdr:colOff>
      <xdr:row>71</xdr:row>
      <xdr:rowOff>0</xdr:rowOff>
    </xdr:to>
    <xdr:pic>
      <xdr:nvPicPr>
        <xdr:cNvPr id="790" name="Picture 789" descr="United States">
          <a:extLst>
            <a:ext uri="{FF2B5EF4-FFF2-40B4-BE49-F238E27FC236}">
              <a16:creationId xmlns:a16="http://schemas.microsoft.com/office/drawing/2014/main" id="{9F546C84-E099-D6BC-6203-B35CC6A0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0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508000</xdr:colOff>
      <xdr:row>72</xdr:row>
      <xdr:rowOff>0</xdr:rowOff>
    </xdr:to>
    <xdr:pic>
      <xdr:nvPicPr>
        <xdr:cNvPr id="791" name="Picture 790" descr="Puerto Rico">
          <a:extLst>
            <a:ext uri="{FF2B5EF4-FFF2-40B4-BE49-F238E27FC236}">
              <a16:creationId xmlns:a16="http://schemas.microsoft.com/office/drawing/2014/main" id="{2DA22080-262E-92A9-7D20-CB4DFEC0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25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508000</xdr:colOff>
      <xdr:row>73</xdr:row>
      <xdr:rowOff>0</xdr:rowOff>
    </xdr:to>
    <xdr:pic>
      <xdr:nvPicPr>
        <xdr:cNvPr id="792" name="Picture 791" descr="Canada">
          <a:extLst>
            <a:ext uri="{FF2B5EF4-FFF2-40B4-BE49-F238E27FC236}">
              <a16:creationId xmlns:a16="http://schemas.microsoft.com/office/drawing/2014/main" id="{B27EAC0B-5DEC-AA92-09AA-4637DDE44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51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508000</xdr:colOff>
      <xdr:row>74</xdr:row>
      <xdr:rowOff>0</xdr:rowOff>
    </xdr:to>
    <xdr:pic>
      <xdr:nvPicPr>
        <xdr:cNvPr id="793" name="Picture 792" descr="United States">
          <a:extLst>
            <a:ext uri="{FF2B5EF4-FFF2-40B4-BE49-F238E27FC236}">
              <a16:creationId xmlns:a16="http://schemas.microsoft.com/office/drawing/2014/main" id="{BAC2E378-910C-1083-B98D-55B982D6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76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508000</xdr:colOff>
      <xdr:row>75</xdr:row>
      <xdr:rowOff>0</xdr:rowOff>
    </xdr:to>
    <xdr:pic>
      <xdr:nvPicPr>
        <xdr:cNvPr id="794" name="Picture 793" descr="United States">
          <a:extLst>
            <a:ext uri="{FF2B5EF4-FFF2-40B4-BE49-F238E27FC236}">
              <a16:creationId xmlns:a16="http://schemas.microsoft.com/office/drawing/2014/main" id="{B22FB728-63FC-5EB5-9719-67198C88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02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508000</xdr:colOff>
      <xdr:row>76</xdr:row>
      <xdr:rowOff>0</xdr:rowOff>
    </xdr:to>
    <xdr:pic>
      <xdr:nvPicPr>
        <xdr:cNvPr id="795" name="Picture 794" descr="Spain">
          <a:extLst>
            <a:ext uri="{FF2B5EF4-FFF2-40B4-BE49-F238E27FC236}">
              <a16:creationId xmlns:a16="http://schemas.microsoft.com/office/drawing/2014/main" id="{929B0967-7E0D-2865-23DA-E07A2BEC7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27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508000</xdr:colOff>
      <xdr:row>77</xdr:row>
      <xdr:rowOff>0</xdr:rowOff>
    </xdr:to>
    <xdr:pic>
      <xdr:nvPicPr>
        <xdr:cNvPr id="796" name="Picture 795" descr="United States">
          <a:extLst>
            <a:ext uri="{FF2B5EF4-FFF2-40B4-BE49-F238E27FC236}">
              <a16:creationId xmlns:a16="http://schemas.microsoft.com/office/drawing/2014/main" id="{9C8D7C79-59D4-A82F-2BEB-1E48DB604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52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508000</xdr:colOff>
      <xdr:row>78</xdr:row>
      <xdr:rowOff>0</xdr:rowOff>
    </xdr:to>
    <xdr:pic>
      <xdr:nvPicPr>
        <xdr:cNvPr id="797" name="Picture 796" descr="Austria">
          <a:extLst>
            <a:ext uri="{FF2B5EF4-FFF2-40B4-BE49-F238E27FC236}">
              <a16:creationId xmlns:a16="http://schemas.microsoft.com/office/drawing/2014/main" id="{C776DBEE-00FF-7750-F07D-7A43861A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78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508000</xdr:colOff>
      <xdr:row>79</xdr:row>
      <xdr:rowOff>0</xdr:rowOff>
    </xdr:to>
    <xdr:pic>
      <xdr:nvPicPr>
        <xdr:cNvPr id="798" name="Picture 797" descr="Australia">
          <a:extLst>
            <a:ext uri="{FF2B5EF4-FFF2-40B4-BE49-F238E27FC236}">
              <a16:creationId xmlns:a16="http://schemas.microsoft.com/office/drawing/2014/main" id="{F281E0B2-4FC6-D8E1-0C44-339612CE7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03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508000</xdr:colOff>
      <xdr:row>80</xdr:row>
      <xdr:rowOff>0</xdr:rowOff>
    </xdr:to>
    <xdr:pic>
      <xdr:nvPicPr>
        <xdr:cNvPr id="799" name="Picture 798" descr="United States">
          <a:extLst>
            <a:ext uri="{FF2B5EF4-FFF2-40B4-BE49-F238E27FC236}">
              <a16:creationId xmlns:a16="http://schemas.microsoft.com/office/drawing/2014/main" id="{767A4912-C659-40B6-71A1-B6037FA7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9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508000</xdr:colOff>
      <xdr:row>81</xdr:row>
      <xdr:rowOff>0</xdr:rowOff>
    </xdr:to>
    <xdr:pic>
      <xdr:nvPicPr>
        <xdr:cNvPr id="800" name="Picture 799" descr="United States">
          <a:extLst>
            <a:ext uri="{FF2B5EF4-FFF2-40B4-BE49-F238E27FC236}">
              <a16:creationId xmlns:a16="http://schemas.microsoft.com/office/drawing/2014/main" id="{270B58A2-6D49-44B1-0479-996384F8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54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508000</xdr:colOff>
      <xdr:row>82</xdr:row>
      <xdr:rowOff>0</xdr:rowOff>
    </xdr:to>
    <xdr:pic>
      <xdr:nvPicPr>
        <xdr:cNvPr id="801" name="Picture 800" descr="United States">
          <a:extLst>
            <a:ext uri="{FF2B5EF4-FFF2-40B4-BE49-F238E27FC236}">
              <a16:creationId xmlns:a16="http://schemas.microsoft.com/office/drawing/2014/main" id="{986A2F28-8C13-F5B1-E699-6D9D6E96B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9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508000</xdr:colOff>
      <xdr:row>83</xdr:row>
      <xdr:rowOff>0</xdr:rowOff>
    </xdr:to>
    <xdr:pic>
      <xdr:nvPicPr>
        <xdr:cNvPr id="802" name="Picture 801" descr="Australia">
          <a:extLst>
            <a:ext uri="{FF2B5EF4-FFF2-40B4-BE49-F238E27FC236}">
              <a16:creationId xmlns:a16="http://schemas.microsoft.com/office/drawing/2014/main" id="{E0D6B1AE-A1F1-AE42-F289-2F4248A1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5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508000</xdr:colOff>
      <xdr:row>84</xdr:row>
      <xdr:rowOff>0</xdr:rowOff>
    </xdr:to>
    <xdr:pic>
      <xdr:nvPicPr>
        <xdr:cNvPr id="803" name="Picture 802" descr="United States">
          <a:extLst>
            <a:ext uri="{FF2B5EF4-FFF2-40B4-BE49-F238E27FC236}">
              <a16:creationId xmlns:a16="http://schemas.microsoft.com/office/drawing/2014/main" id="{E62B339E-F83D-814A-8C98-1595E9BF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30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508000</xdr:colOff>
      <xdr:row>85</xdr:row>
      <xdr:rowOff>0</xdr:rowOff>
    </xdr:to>
    <xdr:pic>
      <xdr:nvPicPr>
        <xdr:cNvPr id="804" name="Picture 803" descr="Denmark">
          <a:extLst>
            <a:ext uri="{FF2B5EF4-FFF2-40B4-BE49-F238E27FC236}">
              <a16:creationId xmlns:a16="http://schemas.microsoft.com/office/drawing/2014/main" id="{4956D796-DE3D-E13D-4C5A-A465CA2C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508000</xdr:colOff>
      <xdr:row>86</xdr:row>
      <xdr:rowOff>0</xdr:rowOff>
    </xdr:to>
    <xdr:pic>
      <xdr:nvPicPr>
        <xdr:cNvPr id="805" name="Picture 804" descr="Chinese Taipei">
          <a:extLst>
            <a:ext uri="{FF2B5EF4-FFF2-40B4-BE49-F238E27FC236}">
              <a16:creationId xmlns:a16="http://schemas.microsoft.com/office/drawing/2014/main" id="{958BA83D-C7DA-EEDD-8307-C2496FD9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1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508000</xdr:colOff>
      <xdr:row>87</xdr:row>
      <xdr:rowOff>0</xdr:rowOff>
    </xdr:to>
    <xdr:pic>
      <xdr:nvPicPr>
        <xdr:cNvPr id="806" name="Picture 805" descr="Venezuela">
          <a:extLst>
            <a:ext uri="{FF2B5EF4-FFF2-40B4-BE49-F238E27FC236}">
              <a16:creationId xmlns:a16="http://schemas.microsoft.com/office/drawing/2014/main" id="{B2198FAF-8D3D-2E6D-4C6D-6686F023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6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508000</xdr:colOff>
      <xdr:row>88</xdr:row>
      <xdr:rowOff>0</xdr:rowOff>
    </xdr:to>
    <xdr:pic>
      <xdr:nvPicPr>
        <xdr:cNvPr id="807" name="Picture 806" descr="Scotland">
          <a:extLst>
            <a:ext uri="{FF2B5EF4-FFF2-40B4-BE49-F238E27FC236}">
              <a16:creationId xmlns:a16="http://schemas.microsoft.com/office/drawing/2014/main" id="{102C627E-8EE8-F01E-6B78-5DD03FF2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2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508000</xdr:colOff>
      <xdr:row>89</xdr:row>
      <xdr:rowOff>0</xdr:rowOff>
    </xdr:to>
    <xdr:pic>
      <xdr:nvPicPr>
        <xdr:cNvPr id="808" name="Picture 807" descr="Singapore">
          <a:extLst>
            <a:ext uri="{FF2B5EF4-FFF2-40B4-BE49-F238E27FC236}">
              <a16:creationId xmlns:a16="http://schemas.microsoft.com/office/drawing/2014/main" id="{EC79FE26-30B1-06C7-3989-54CA4735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57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508000</xdr:colOff>
      <xdr:row>90</xdr:row>
      <xdr:rowOff>0</xdr:rowOff>
    </xdr:to>
    <xdr:pic>
      <xdr:nvPicPr>
        <xdr:cNvPr id="809" name="Picture 808" descr="Spain">
          <a:extLst>
            <a:ext uri="{FF2B5EF4-FFF2-40B4-BE49-F238E27FC236}">
              <a16:creationId xmlns:a16="http://schemas.microsoft.com/office/drawing/2014/main" id="{F9C6A40E-5AEC-D9AF-C38A-3BBAEB1E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3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508000</xdr:colOff>
      <xdr:row>91</xdr:row>
      <xdr:rowOff>0</xdr:rowOff>
    </xdr:to>
    <xdr:pic>
      <xdr:nvPicPr>
        <xdr:cNvPr id="810" name="Picture 809" descr="South Africa">
          <a:extLst>
            <a:ext uri="{FF2B5EF4-FFF2-40B4-BE49-F238E27FC236}">
              <a16:creationId xmlns:a16="http://schemas.microsoft.com/office/drawing/2014/main" id="{1D3CF6C4-31AF-58D9-58E8-A7D07C9F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08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508000</xdr:colOff>
      <xdr:row>92</xdr:row>
      <xdr:rowOff>0</xdr:rowOff>
    </xdr:to>
    <xdr:pic>
      <xdr:nvPicPr>
        <xdr:cNvPr id="811" name="Picture 810" descr="United States">
          <a:extLst>
            <a:ext uri="{FF2B5EF4-FFF2-40B4-BE49-F238E27FC236}">
              <a16:creationId xmlns:a16="http://schemas.microsoft.com/office/drawing/2014/main" id="{081916D9-3986-3235-A34B-DF62AB46C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33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508000</xdr:colOff>
      <xdr:row>93</xdr:row>
      <xdr:rowOff>0</xdr:rowOff>
    </xdr:to>
    <xdr:pic>
      <xdr:nvPicPr>
        <xdr:cNvPr id="812" name="Picture 811" descr="United States">
          <a:extLst>
            <a:ext uri="{FF2B5EF4-FFF2-40B4-BE49-F238E27FC236}">
              <a16:creationId xmlns:a16="http://schemas.microsoft.com/office/drawing/2014/main" id="{F8C6AC8C-84C4-20AA-6872-F33BBFD5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59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508000</xdr:colOff>
      <xdr:row>94</xdr:row>
      <xdr:rowOff>0</xdr:rowOff>
    </xdr:to>
    <xdr:pic>
      <xdr:nvPicPr>
        <xdr:cNvPr id="813" name="Picture 812" descr="United States">
          <a:extLst>
            <a:ext uri="{FF2B5EF4-FFF2-40B4-BE49-F238E27FC236}">
              <a16:creationId xmlns:a16="http://schemas.microsoft.com/office/drawing/2014/main" id="{C12FD1A7-9475-DD50-824B-C26762F0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84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508000</xdr:colOff>
      <xdr:row>95</xdr:row>
      <xdr:rowOff>0</xdr:rowOff>
    </xdr:to>
    <xdr:pic>
      <xdr:nvPicPr>
        <xdr:cNvPr id="814" name="Picture 813" descr="Canada">
          <a:extLst>
            <a:ext uri="{FF2B5EF4-FFF2-40B4-BE49-F238E27FC236}">
              <a16:creationId xmlns:a16="http://schemas.microsoft.com/office/drawing/2014/main" id="{54471473-6997-18A5-05E4-03C60B66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10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508000</xdr:colOff>
      <xdr:row>96</xdr:row>
      <xdr:rowOff>0</xdr:rowOff>
    </xdr:to>
    <xdr:pic>
      <xdr:nvPicPr>
        <xdr:cNvPr id="815" name="Picture 814" descr="United States">
          <a:extLst>
            <a:ext uri="{FF2B5EF4-FFF2-40B4-BE49-F238E27FC236}">
              <a16:creationId xmlns:a16="http://schemas.microsoft.com/office/drawing/2014/main" id="{03247EC5-CB5F-EEC4-8B0D-067ECD14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35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508000</xdr:colOff>
      <xdr:row>97</xdr:row>
      <xdr:rowOff>0</xdr:rowOff>
    </xdr:to>
    <xdr:pic>
      <xdr:nvPicPr>
        <xdr:cNvPr id="816" name="Picture 815" descr="Belgium">
          <a:extLst>
            <a:ext uri="{FF2B5EF4-FFF2-40B4-BE49-F238E27FC236}">
              <a16:creationId xmlns:a16="http://schemas.microsoft.com/office/drawing/2014/main" id="{D420DE49-2FA8-CEE4-CFE4-9A7E690F3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609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508000</xdr:colOff>
      <xdr:row>98</xdr:row>
      <xdr:rowOff>0</xdr:rowOff>
    </xdr:to>
    <xdr:pic>
      <xdr:nvPicPr>
        <xdr:cNvPr id="817" name="Picture 816" descr="United States">
          <a:extLst>
            <a:ext uri="{FF2B5EF4-FFF2-40B4-BE49-F238E27FC236}">
              <a16:creationId xmlns:a16="http://schemas.microsoft.com/office/drawing/2014/main" id="{C447E879-82BA-0B7E-6548-AE7B1A532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863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508000</xdr:colOff>
      <xdr:row>99</xdr:row>
      <xdr:rowOff>0</xdr:rowOff>
    </xdr:to>
    <xdr:pic>
      <xdr:nvPicPr>
        <xdr:cNvPr id="818" name="Picture 817" descr="Australia">
          <a:extLst>
            <a:ext uri="{FF2B5EF4-FFF2-40B4-BE49-F238E27FC236}">
              <a16:creationId xmlns:a16="http://schemas.microsoft.com/office/drawing/2014/main" id="{C204B3CD-EDF4-CA2A-95AA-A70055F8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117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508000</xdr:colOff>
      <xdr:row>100</xdr:row>
      <xdr:rowOff>12700</xdr:rowOff>
    </xdr:to>
    <xdr:pic>
      <xdr:nvPicPr>
        <xdr:cNvPr id="819" name="Picture 818" descr="France">
          <a:extLst>
            <a:ext uri="{FF2B5EF4-FFF2-40B4-BE49-F238E27FC236}">
              <a16:creationId xmlns:a16="http://schemas.microsoft.com/office/drawing/2014/main" id="{AD6F92BA-C6AA-CCBE-8DBC-F6DDD352A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371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508000</xdr:colOff>
      <xdr:row>101</xdr:row>
      <xdr:rowOff>25400</xdr:rowOff>
    </xdr:to>
    <xdr:pic>
      <xdr:nvPicPr>
        <xdr:cNvPr id="820" name="Picture 819" descr="England">
          <a:extLst>
            <a:ext uri="{FF2B5EF4-FFF2-40B4-BE49-F238E27FC236}">
              <a16:creationId xmlns:a16="http://schemas.microsoft.com/office/drawing/2014/main" id="{0306F82C-959A-561F-08DF-E0C51FCED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6253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508000</xdr:colOff>
      <xdr:row>102</xdr:row>
      <xdr:rowOff>25400</xdr:rowOff>
    </xdr:to>
    <xdr:pic>
      <xdr:nvPicPr>
        <xdr:cNvPr id="821" name="Picture 820" descr="Spain">
          <a:extLst>
            <a:ext uri="{FF2B5EF4-FFF2-40B4-BE49-F238E27FC236}">
              <a16:creationId xmlns:a16="http://schemas.microsoft.com/office/drawing/2014/main" id="{7F1ECE9E-F689-FCB8-B06D-E8543876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666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508000</xdr:colOff>
      <xdr:row>103</xdr:row>
      <xdr:rowOff>25400</xdr:rowOff>
    </xdr:to>
    <xdr:pic>
      <xdr:nvPicPr>
        <xdr:cNvPr id="822" name="Picture 821" descr="South Africa">
          <a:extLst>
            <a:ext uri="{FF2B5EF4-FFF2-40B4-BE49-F238E27FC236}">
              <a16:creationId xmlns:a16="http://schemas.microsoft.com/office/drawing/2014/main" id="{E3538BF9-12ED-A49A-1364-425B1CC81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107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508000</xdr:colOff>
      <xdr:row>104</xdr:row>
      <xdr:rowOff>25400</xdr:rowOff>
    </xdr:to>
    <xdr:pic>
      <xdr:nvPicPr>
        <xdr:cNvPr id="823" name="Picture 822" descr="United States">
          <a:extLst>
            <a:ext uri="{FF2B5EF4-FFF2-40B4-BE49-F238E27FC236}">
              <a16:creationId xmlns:a16="http://schemas.microsoft.com/office/drawing/2014/main" id="{EA56E63A-29D4-8130-5BC9-0E9B8498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492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508000</xdr:colOff>
      <xdr:row>105</xdr:row>
      <xdr:rowOff>25400</xdr:rowOff>
    </xdr:to>
    <xdr:pic>
      <xdr:nvPicPr>
        <xdr:cNvPr id="824" name="Picture 823" descr="Argentina">
          <a:extLst>
            <a:ext uri="{FF2B5EF4-FFF2-40B4-BE49-F238E27FC236}">
              <a16:creationId xmlns:a16="http://schemas.microsoft.com/office/drawing/2014/main" id="{43847CB3-85FF-7585-9107-3CEA4D040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5905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508000</xdr:colOff>
      <xdr:row>106</xdr:row>
      <xdr:rowOff>76200</xdr:rowOff>
    </xdr:to>
    <xdr:pic>
      <xdr:nvPicPr>
        <xdr:cNvPr id="825" name="Picture 824" descr="United States">
          <a:extLst>
            <a:ext uri="{FF2B5EF4-FFF2-40B4-BE49-F238E27FC236}">
              <a16:creationId xmlns:a16="http://schemas.microsoft.com/office/drawing/2014/main" id="{167A56F4-D608-9CC9-8FA1-D742024E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831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.com/golf/player/_/id/4364873/viktor-hovland" TargetMode="External"/><Relationship Id="rId21" Type="http://schemas.openxmlformats.org/officeDocument/2006/relationships/hyperlink" Target="https://www.espn.com/golf/player/_/id/5860/hideki-matsuyama" TargetMode="External"/><Relationship Id="rId42" Type="http://schemas.openxmlformats.org/officeDocument/2006/relationships/hyperlink" Target="https://www.espn.com/golf/player/_/id/4419142/akshay-bhatia" TargetMode="External"/><Relationship Id="rId47" Type="http://schemas.openxmlformats.org/officeDocument/2006/relationships/hyperlink" Target="https://www.espn.com/golf/player/_/id/9938/sam-burns" TargetMode="External"/><Relationship Id="rId63" Type="http://schemas.openxmlformats.org/officeDocument/2006/relationships/hyperlink" Target="https://www.espn.com/golf/player/_/id/2230/tony-finau" TargetMode="External"/><Relationship Id="rId68" Type="http://schemas.openxmlformats.org/officeDocument/2006/relationships/hyperlink" Target="https://www.espn.com/golf/player/_/id/388/adam-scott" TargetMode="External"/><Relationship Id="rId84" Type="http://schemas.openxmlformats.org/officeDocument/2006/relationships/hyperlink" Target="https://www.espn.com/golf/player/_/id/9658/taylor-pendrith" TargetMode="External"/><Relationship Id="rId89" Type="http://schemas.openxmlformats.org/officeDocument/2006/relationships/hyperlink" Target="https://www.espn.com/golf/player/_/id/10596/matthieu-pavon" TargetMode="External"/><Relationship Id="rId16" Type="http://schemas.openxmlformats.org/officeDocument/2006/relationships/hyperlink" Target="https://www.espn.com/golf/player/_/id/5467/jordan-spieth" TargetMode="External"/><Relationship Id="rId11" Type="http://schemas.openxmlformats.org/officeDocument/2006/relationships/hyperlink" Target="https://www.espn.com/golf/player/_/id/9126/corey-conners" TargetMode="External"/><Relationship Id="rId32" Type="http://schemas.openxmlformats.org/officeDocument/2006/relationships/hyperlink" Target="https://www.espn.com/golf/player/_/id/9525/brian-campbell" TargetMode="External"/><Relationship Id="rId37" Type="http://schemas.openxmlformats.org/officeDocument/2006/relationships/hyperlink" Target="https://www.espn.com/golf/player/_/id/6007/patrick-cantlay" TargetMode="External"/><Relationship Id="rId53" Type="http://schemas.openxmlformats.org/officeDocument/2006/relationships/hyperlink" Target="https://www.espn.com/golf/player/_/id/4602673/tom-kim" TargetMode="External"/><Relationship Id="rId58" Type="http://schemas.openxmlformats.org/officeDocument/2006/relationships/hyperlink" Target="https://www.espn.com/golf/player/_/id/4513/keegan-bradley" TargetMode="External"/><Relationship Id="rId74" Type="http://schemas.openxmlformats.org/officeDocument/2006/relationships/hyperlink" Target="https://www.espn.com/golf/player/_/id/11250/nicolai-h%C3%B8jgaard" TargetMode="External"/><Relationship Id="rId79" Type="http://schemas.openxmlformats.org/officeDocument/2006/relationships/hyperlink" Target="https://www.espn.com/golf/player/_/id/329/jose-maria-olazabal" TargetMode="External"/><Relationship Id="rId5" Type="http://schemas.openxmlformats.org/officeDocument/2006/relationships/hyperlink" Target="https://www.espn.com/golf/player/_/id/11382/sungjae-im" TargetMode="External"/><Relationship Id="rId90" Type="http://schemas.openxmlformats.org/officeDocument/2006/relationships/hyperlink" Target="https://www.espn.com/golf/player/_/id/5550/laurie-canter" TargetMode="External"/><Relationship Id="rId95" Type="http://schemas.openxmlformats.org/officeDocument/2006/relationships/hyperlink" Target="https://www.espn.com/golf/player/_/id/4832046/nick-dunlap" TargetMode="External"/><Relationship Id="rId22" Type="http://schemas.openxmlformats.org/officeDocument/2006/relationships/hyperlink" Target="https://www.espn.com/golf/player/_/id/9025/daniel-berger" TargetMode="External"/><Relationship Id="rId27" Type="http://schemas.openxmlformats.org/officeDocument/2006/relationships/hyperlink" Target="https://www.espn.com/golf/player/_/id/10906/aaron-rai" TargetMode="External"/><Relationship Id="rId43" Type="http://schemas.openxmlformats.org/officeDocument/2006/relationships/hyperlink" Target="https://www.espn.com/golf/player/_/id/4304/danny-willett" TargetMode="External"/><Relationship Id="rId48" Type="http://schemas.openxmlformats.org/officeDocument/2006/relationships/hyperlink" Target="https://www.espn.com/golf/player/_/id/4602218/davis-thompson" TargetMode="External"/><Relationship Id="rId64" Type="http://schemas.openxmlformats.org/officeDocument/2006/relationships/hyperlink" Target="https://www.espn.com/golf/player/_/id/10372/adam-schenk" TargetMode="External"/><Relationship Id="rId69" Type="http://schemas.openxmlformats.org/officeDocument/2006/relationships/hyperlink" Target="https://www.espn.com/golf/player/_/id/1651/billy-horschel" TargetMode="External"/><Relationship Id="rId8" Type="http://schemas.openxmlformats.org/officeDocument/2006/relationships/hyperlink" Target="https://www.espn.com/golf/player/_/id/686/zach-johnson" TargetMode="External"/><Relationship Id="rId51" Type="http://schemas.openxmlformats.org/officeDocument/2006/relationships/hyperlink" Target="https://www.espn.com/golf/player/_/id/4408316/nicolas-echavarria" TargetMode="External"/><Relationship Id="rId72" Type="http://schemas.openxmlformats.org/officeDocument/2006/relationships/hyperlink" Target="https://www.espn.com/golf/player/_/id/9131/cameron-smith" TargetMode="External"/><Relationship Id="rId80" Type="http://schemas.openxmlformats.org/officeDocument/2006/relationships/hyperlink" Target="https://www.espn.com/golf/player/_/id/9243/christiaan-bezuidenhout" TargetMode="External"/><Relationship Id="rId85" Type="http://schemas.openxmlformats.org/officeDocument/2006/relationships/hyperlink" Target="https://www.espn.com/golf/player/_/id/9877/will-zalatoris" TargetMode="External"/><Relationship Id="rId93" Type="http://schemas.openxmlformats.org/officeDocument/2006/relationships/hyperlink" Target="https://www.espn.com/golf/player/_/id/5276688/noah-kent" TargetMode="External"/><Relationship Id="rId3" Type="http://schemas.openxmlformats.org/officeDocument/2006/relationships/hyperlink" Target="https://www.espn.com/golf/player/_/id/5579/patrick-reed" TargetMode="External"/><Relationship Id="rId12" Type="http://schemas.openxmlformats.org/officeDocument/2006/relationships/hyperlink" Target="https://www.espn.com/golf/player/_/id/5408/harris-english" TargetMode="External"/><Relationship Id="rId17" Type="http://schemas.openxmlformats.org/officeDocument/2006/relationships/hyperlink" Target="https://www.espn.com/golf/player/_/id/6086/tom-hoge" TargetMode="External"/><Relationship Id="rId25" Type="http://schemas.openxmlformats.org/officeDocument/2006/relationships/hyperlink" Target="https://www.espn.com/golf/player/_/id/5285/byeong-hun-an" TargetMode="External"/><Relationship Id="rId33" Type="http://schemas.openxmlformats.org/officeDocument/2006/relationships/hyperlink" Target="https://www.espn.com/golf/player/_/id/9530/maverick-mcnealy" TargetMode="External"/><Relationship Id="rId38" Type="http://schemas.openxmlformats.org/officeDocument/2006/relationships/hyperlink" Target="https://www.espn.com/golf/player/_/id/1225/brian-harman" TargetMode="External"/><Relationship Id="rId46" Type="http://schemas.openxmlformats.org/officeDocument/2006/relationships/hyperlink" Target="https://www.espn.com/golf/player/_/id/11119/wyndham-clark" TargetMode="External"/><Relationship Id="rId59" Type="http://schemas.openxmlformats.org/officeDocument/2006/relationships/hyperlink" Target="https://www.espn.com/golf/player/_/id/5203536/justin-hastings" TargetMode="External"/><Relationship Id="rId67" Type="http://schemas.openxmlformats.org/officeDocument/2006/relationships/hyperlink" Target="https://www.espn.com/golf/player/_/id/8961/sepp-straka" TargetMode="External"/><Relationship Id="rId20" Type="http://schemas.openxmlformats.org/officeDocument/2006/relationships/hyperlink" Target="https://www.espn.com/golf/player/_/id/10592/collin-morikawa" TargetMode="External"/><Relationship Id="rId41" Type="http://schemas.openxmlformats.org/officeDocument/2006/relationships/hyperlink" Target="https://www.espn.com/golf/player/_/id/9037/matt-fitzpatrick" TargetMode="External"/><Relationship Id="rId54" Type="http://schemas.openxmlformats.org/officeDocument/2006/relationships/hyperlink" Target="https://www.espn.com/golf/player/_/id/5409/russell-henley" TargetMode="External"/><Relationship Id="rId62" Type="http://schemas.openxmlformats.org/officeDocument/2006/relationships/hyperlink" Target="https://www.espn.com/golf/player/_/id/453/mike-weir" TargetMode="External"/><Relationship Id="rId70" Type="http://schemas.openxmlformats.org/officeDocument/2006/relationships/hyperlink" Target="https://www.espn.com/golf/player/_/id/308/phil-mickelson" TargetMode="External"/><Relationship Id="rId75" Type="http://schemas.openxmlformats.org/officeDocument/2006/relationships/hyperlink" Target="https://www.espn.com/golf/player/_/id/4349547/kevin-yu" TargetMode="External"/><Relationship Id="rId83" Type="http://schemas.openxmlformats.org/officeDocument/2006/relationships/hyperlink" Target="https://www.espn.com/golf/player/_/id/676/lucas-glover" TargetMode="External"/><Relationship Id="rId88" Type="http://schemas.openxmlformats.org/officeDocument/2006/relationships/hyperlink" Target="https://www.espn.com/golf/player/_/id/10863/cam-davis" TargetMode="External"/><Relationship Id="rId91" Type="http://schemas.openxmlformats.org/officeDocument/2006/relationships/hyperlink" Target="https://www.espn.com/golf/player/_/id/5152205/jose-luis-ballester" TargetMode="External"/><Relationship Id="rId96" Type="http://schemas.openxmlformats.org/officeDocument/2006/relationships/drawing" Target="../drawings/drawing1.xml"/><Relationship Id="rId1" Type="http://schemas.openxmlformats.org/officeDocument/2006/relationships/hyperlink" Target="https://www.espn.com/golf/player/_/id/569/justin-rose" TargetMode="External"/><Relationship Id="rId6" Type="http://schemas.openxmlformats.org/officeDocument/2006/relationships/hyperlink" Target="https://www.espn.com/golf/player/_/id/10046/bryson-dechambeau" TargetMode="External"/><Relationship Id="rId15" Type="http://schemas.openxmlformats.org/officeDocument/2006/relationships/hyperlink" Target="https://www.espn.com/golf/player/_/id/9780/jon-rahm" TargetMode="External"/><Relationship Id="rId23" Type="http://schemas.openxmlformats.org/officeDocument/2006/relationships/hyperlink" Target="https://www.espn.com/golf/player/_/id/10058/davis-riley" TargetMode="External"/><Relationship Id="rId28" Type="http://schemas.openxmlformats.org/officeDocument/2006/relationships/hyperlink" Target="https://www.espn.com/golf/player/_/id/8974/michael-kim" TargetMode="External"/><Relationship Id="rId36" Type="http://schemas.openxmlformats.org/officeDocument/2006/relationships/hyperlink" Target="https://www.espn.com/golf/player/_/id/4848/justin-thomas" TargetMode="External"/><Relationship Id="rId49" Type="http://schemas.openxmlformats.org/officeDocument/2006/relationships/hyperlink" Target="https://www.espn.com/golf/player/_/id/4410932/min-woo-lee" TargetMode="External"/><Relationship Id="rId57" Type="http://schemas.openxmlformats.org/officeDocument/2006/relationships/hyperlink" Target="https://www.espn.com/golf/player/_/id/261/bernhard-langer" TargetMode="External"/><Relationship Id="rId10" Type="http://schemas.openxmlformats.org/officeDocument/2006/relationships/hyperlink" Target="https://www.espn.com/golf/player/_/id/1680/jason-day" TargetMode="External"/><Relationship Id="rId31" Type="http://schemas.openxmlformats.org/officeDocument/2006/relationships/hyperlink" Target="https://www.espn.com/golf/player/_/id/11099/joaquin-niemann" TargetMode="External"/><Relationship Id="rId44" Type="http://schemas.openxmlformats.org/officeDocument/2006/relationships/hyperlink" Target="https://www.espn.com/golf/player/_/id/10505/jt-poston" TargetMode="External"/><Relationship Id="rId52" Type="http://schemas.openxmlformats.org/officeDocument/2006/relationships/hyperlink" Target="https://www.espn.com/golf/player/_/id/6937/stephan-jaeger" TargetMode="External"/><Relationship Id="rId60" Type="http://schemas.openxmlformats.org/officeDocument/2006/relationships/hyperlink" Target="https://www.espn.com/golf/player/_/id/4868733/joe-highsmith" TargetMode="External"/><Relationship Id="rId65" Type="http://schemas.openxmlformats.org/officeDocument/2006/relationships/hyperlink" Target="https://www.espn.com/golf/player/_/id/158/sergio-garcia" TargetMode="External"/><Relationship Id="rId73" Type="http://schemas.openxmlformats.org/officeDocument/2006/relationships/hyperlink" Target="https://www.espn.com/golf/player/_/id/4425898/austin-eckroat" TargetMode="External"/><Relationship Id="rId78" Type="http://schemas.openxmlformats.org/officeDocument/2006/relationships/hyperlink" Target="https://www.espn.com/golf/player/_/id/5214992/hiroshi-tai" TargetMode="External"/><Relationship Id="rId81" Type="http://schemas.openxmlformats.org/officeDocument/2006/relationships/hyperlink" Target="https://www.espn.com/golf/player/_/id/4425906/cameron-young" TargetMode="External"/><Relationship Id="rId86" Type="http://schemas.openxmlformats.org/officeDocument/2006/relationships/hyperlink" Target="https://www.espn.com/golf/player/_/id/4837/thomas-detry" TargetMode="External"/><Relationship Id="rId94" Type="http://schemas.openxmlformats.org/officeDocument/2006/relationships/hyperlink" Target="https://www.espn.com/golf/player/_/id/65/angel-cabrera" TargetMode="External"/><Relationship Id="rId4" Type="http://schemas.openxmlformats.org/officeDocument/2006/relationships/hyperlink" Target="https://www.espn.com/golf/player/_/id/9478/scottie-scheffler" TargetMode="External"/><Relationship Id="rId9" Type="http://schemas.openxmlformats.org/officeDocument/2006/relationships/hyperlink" Target="https://www.espn.com/golf/player/_/id/10140/xander-schauffele" TargetMode="External"/><Relationship Id="rId13" Type="http://schemas.openxmlformats.org/officeDocument/2006/relationships/hyperlink" Target="https://www.espn.com/golf/player/_/id/8973/max-homa" TargetMode="External"/><Relationship Id="rId18" Type="http://schemas.openxmlformats.org/officeDocument/2006/relationships/hyperlink" Target="https://www.espn.com/golf/player/_/id/5553/tyrrell-hatton" TargetMode="External"/><Relationship Id="rId39" Type="http://schemas.openxmlformats.org/officeDocument/2006/relationships/hyperlink" Target="https://www.espn.com/golf/player/_/id/1097/charl-schwartzel" TargetMode="External"/><Relationship Id="rId34" Type="http://schemas.openxmlformats.org/officeDocument/2006/relationships/hyperlink" Target="https://www.espn.com/golf/player/_/id/11101/max-greyserman" TargetMode="External"/><Relationship Id="rId50" Type="http://schemas.openxmlformats.org/officeDocument/2006/relationships/hyperlink" Target="https://www.espn.com/golf/player/_/id/10166/jj-spaun" TargetMode="External"/><Relationship Id="rId55" Type="http://schemas.openxmlformats.org/officeDocument/2006/relationships/hyperlink" Target="https://www.espn.com/golf/player/_/id/3449/chris-kirk" TargetMode="External"/><Relationship Id="rId76" Type="http://schemas.openxmlformats.org/officeDocument/2006/relationships/hyperlink" Target="https://www.espn.com/golf/player/_/id/1030/jhonattan-vegas" TargetMode="External"/><Relationship Id="rId7" Type="http://schemas.openxmlformats.org/officeDocument/2006/relationships/hyperlink" Target="https://www.espn.com/golf/player/_/id/4375972/ludvig-aberg" TargetMode="External"/><Relationship Id="rId71" Type="http://schemas.openxmlformats.org/officeDocument/2006/relationships/hyperlink" Target="https://www.espn.com/golf/player/_/id/6798/brooks-koepka" TargetMode="External"/><Relationship Id="rId92" Type="http://schemas.openxmlformats.org/officeDocument/2006/relationships/hyperlink" Target="https://www.espn.com/golf/player/_/id/9240/thriston-lawrence" TargetMode="External"/><Relationship Id="rId2" Type="http://schemas.openxmlformats.org/officeDocument/2006/relationships/hyperlink" Target="https://www.espn.com/golf/player/_/id/3470/rory-mcilroy" TargetMode="External"/><Relationship Id="rId29" Type="http://schemas.openxmlformats.org/officeDocument/2006/relationships/hyperlink" Target="https://www.espn.com/golf/player/_/id/10054/denny-mccarthy" TargetMode="External"/><Relationship Id="rId24" Type="http://schemas.openxmlformats.org/officeDocument/2006/relationships/hyperlink" Target="https://www.espn.com/golf/player/_/id/5539/tommy-fleetwood" TargetMode="External"/><Relationship Id="rId40" Type="http://schemas.openxmlformats.org/officeDocument/2006/relationships/hyperlink" Target="https://www.espn.com/golf/player/_/id/3792/nick-taylor" TargetMode="External"/><Relationship Id="rId45" Type="http://schemas.openxmlformats.org/officeDocument/2006/relationships/hyperlink" Target="https://www.espn.com/golf/player/_/id/4587/shane-lowry" TargetMode="External"/><Relationship Id="rId66" Type="http://schemas.openxmlformats.org/officeDocument/2006/relationships/hyperlink" Target="https://www.espn.com/golf/player/_/id/91/fred-couples" TargetMode="External"/><Relationship Id="rId87" Type="http://schemas.openxmlformats.org/officeDocument/2006/relationships/hyperlink" Target="https://www.espn.com/golf/player/_/id/10559/evan-beck" TargetMode="External"/><Relationship Id="rId61" Type="http://schemas.openxmlformats.org/officeDocument/2006/relationships/hyperlink" Target="https://www.espn.com/golf/player/_/id/3683/rafael-campos" TargetMode="External"/><Relationship Id="rId82" Type="http://schemas.openxmlformats.org/officeDocument/2006/relationships/hyperlink" Target="https://www.espn.com/golf/player/_/id/3980/patton-kizzire" TargetMode="External"/><Relationship Id="rId19" Type="http://schemas.openxmlformats.org/officeDocument/2006/relationships/hyperlink" Target="https://www.espn.com/golf/player/_/id/4901368/matt-mccarty" TargetMode="External"/><Relationship Id="rId14" Type="http://schemas.openxmlformats.org/officeDocument/2006/relationships/hyperlink" Target="https://www.espn.com/golf/player/_/id/780/bubba-watson" TargetMode="External"/><Relationship Id="rId30" Type="http://schemas.openxmlformats.org/officeDocument/2006/relationships/hyperlink" Target="https://www.espn.com/golf/player/_/id/10980/sahith-theegala" TargetMode="External"/><Relationship Id="rId35" Type="http://schemas.openxmlformats.org/officeDocument/2006/relationships/hyperlink" Target="https://www.espn.com/golf/player/_/id/11253/rasmus-h%C3%B8jgaard" TargetMode="External"/><Relationship Id="rId56" Type="http://schemas.openxmlformats.org/officeDocument/2006/relationships/hyperlink" Target="https://www.espn.com/golf/player/_/id/3448/dustin-johnson" TargetMode="External"/><Relationship Id="rId77" Type="http://schemas.openxmlformats.org/officeDocument/2006/relationships/hyperlink" Target="https://www.espn.com/golf/player/_/id/11378/robert-macinty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7601-D3C4-4F1E-9288-FBB752F22786}">
  <sheetPr codeName="Sheet1"/>
  <dimension ref="A1:L40"/>
  <sheetViews>
    <sheetView zoomScale="150" zoomScaleNormal="150" workbookViewId="0">
      <selection activeCell="N2" sqref="N2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7" width="18.5" bestFit="1" customWidth="1"/>
    <col min="8" max="8" width="19.1640625" bestFit="1" customWidth="1"/>
    <col min="9" max="9" width="20.1640625" bestFit="1" customWidth="1"/>
    <col min="10" max="10" width="17.6640625" bestFit="1" customWidth="1"/>
    <col min="11" max="12" width="18.6640625" bestFit="1" customWidth="1"/>
  </cols>
  <sheetData>
    <row r="1" spans="1:12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6" x14ac:dyDescent="0.2">
      <c r="A2" s="3">
        <v>1</v>
      </c>
      <c r="B2" s="4" t="s">
        <v>104</v>
      </c>
      <c r="C2" s="4" t="s">
        <v>79</v>
      </c>
      <c r="D2" s="4" t="s">
        <v>105</v>
      </c>
      <c r="E2" s="4" t="s">
        <v>15</v>
      </c>
      <c r="F2" s="4" t="s">
        <v>20</v>
      </c>
      <c r="G2" s="4" t="s">
        <v>58</v>
      </c>
      <c r="H2" s="4" t="s">
        <v>44</v>
      </c>
      <c r="I2" s="4" t="s">
        <v>30</v>
      </c>
      <c r="J2" s="4" t="s">
        <v>30</v>
      </c>
      <c r="K2" s="4" t="s">
        <v>74</v>
      </c>
      <c r="L2" s="4" t="s">
        <v>24</v>
      </c>
    </row>
    <row r="3" spans="1:12" ht="16" x14ac:dyDescent="0.2">
      <c r="A3" s="5">
        <v>2</v>
      </c>
      <c r="B3" s="6" t="s">
        <v>106</v>
      </c>
      <c r="C3" s="6" t="s">
        <v>95</v>
      </c>
      <c r="D3" s="6" t="s">
        <v>96</v>
      </c>
      <c r="E3" s="6" t="s">
        <v>27</v>
      </c>
      <c r="F3" s="6" t="s">
        <v>27</v>
      </c>
      <c r="G3" s="6" t="s">
        <v>20</v>
      </c>
      <c r="H3" s="6" t="s">
        <v>20</v>
      </c>
      <c r="I3" s="6" t="s">
        <v>22</v>
      </c>
      <c r="J3" s="6" t="s">
        <v>22</v>
      </c>
      <c r="K3" s="6" t="s">
        <v>24</v>
      </c>
      <c r="L3" s="6" t="s">
        <v>170</v>
      </c>
    </row>
    <row r="4" spans="1:12" ht="16" x14ac:dyDescent="0.2">
      <c r="A4" s="3">
        <v>3</v>
      </c>
      <c r="B4" s="4" t="s">
        <v>109</v>
      </c>
      <c r="C4" s="4" t="s">
        <v>107</v>
      </c>
      <c r="D4" s="4" t="s">
        <v>108</v>
      </c>
      <c r="E4" s="4" t="s">
        <v>34</v>
      </c>
      <c r="F4" s="4" t="s">
        <v>37</v>
      </c>
      <c r="G4" s="4" t="s">
        <v>37</v>
      </c>
      <c r="H4" s="4" t="s">
        <v>20</v>
      </c>
      <c r="I4" s="4" t="s">
        <v>165</v>
      </c>
      <c r="J4" s="4" t="s">
        <v>21</v>
      </c>
      <c r="K4" s="4" t="s">
        <v>64</v>
      </c>
      <c r="L4" s="4" t="s">
        <v>174</v>
      </c>
    </row>
    <row r="5" spans="1:12" ht="16" x14ac:dyDescent="0.2">
      <c r="A5" s="5">
        <v>4</v>
      </c>
      <c r="B5" s="6" t="s">
        <v>110</v>
      </c>
      <c r="C5" s="6" t="s">
        <v>77</v>
      </c>
      <c r="D5" s="6" t="s">
        <v>78</v>
      </c>
      <c r="E5" s="6" t="s">
        <v>15</v>
      </c>
      <c r="F5" s="6" t="s">
        <v>33</v>
      </c>
      <c r="G5" s="6" t="s">
        <v>37</v>
      </c>
      <c r="H5" s="6" t="s">
        <v>41</v>
      </c>
      <c r="I5" s="6" t="s">
        <v>42</v>
      </c>
      <c r="J5" s="6" t="s">
        <v>42</v>
      </c>
      <c r="K5" s="6" t="s">
        <v>38</v>
      </c>
      <c r="L5" s="6" t="s">
        <v>171</v>
      </c>
    </row>
    <row r="6" spans="1:12" ht="16" x14ac:dyDescent="0.2">
      <c r="A6" s="3">
        <v>5</v>
      </c>
      <c r="B6" s="4" t="s">
        <v>146</v>
      </c>
      <c r="C6" s="4" t="s">
        <v>59</v>
      </c>
      <c r="D6" s="4" t="s">
        <v>60</v>
      </c>
      <c r="E6" s="4" t="s">
        <v>33</v>
      </c>
      <c r="F6" s="4" t="s">
        <v>33</v>
      </c>
      <c r="G6" s="4" t="s">
        <v>54</v>
      </c>
      <c r="H6" s="4" t="s">
        <v>41</v>
      </c>
      <c r="I6" s="4" t="s">
        <v>41</v>
      </c>
      <c r="J6" s="4" t="s">
        <v>165</v>
      </c>
      <c r="K6" s="4" t="s">
        <v>75</v>
      </c>
      <c r="L6" s="4" t="s">
        <v>21</v>
      </c>
    </row>
    <row r="7" spans="1:12" ht="16" x14ac:dyDescent="0.2">
      <c r="A7" s="5">
        <v>6</v>
      </c>
      <c r="B7" s="6" t="s">
        <v>111</v>
      </c>
      <c r="C7" s="6" t="s">
        <v>84</v>
      </c>
      <c r="D7" s="6" t="s">
        <v>85</v>
      </c>
      <c r="E7" s="6" t="s">
        <v>32</v>
      </c>
      <c r="F7" s="6" t="s">
        <v>32</v>
      </c>
      <c r="G7" s="6" t="s">
        <v>74</v>
      </c>
      <c r="H7" s="6" t="s">
        <v>74</v>
      </c>
      <c r="I7" s="6" t="s">
        <v>37</v>
      </c>
      <c r="J7" s="6" t="s">
        <v>37</v>
      </c>
      <c r="K7" s="6" t="s">
        <v>50</v>
      </c>
      <c r="L7" s="6" t="s">
        <v>50</v>
      </c>
    </row>
    <row r="8" spans="1:12" ht="16" x14ac:dyDescent="0.2">
      <c r="A8" s="3">
        <v>7</v>
      </c>
      <c r="B8" s="4" t="s">
        <v>112</v>
      </c>
      <c r="C8" s="4" t="s">
        <v>56</v>
      </c>
      <c r="D8" s="4" t="s">
        <v>57</v>
      </c>
      <c r="E8" s="4" t="s">
        <v>34</v>
      </c>
      <c r="F8" s="4" t="s">
        <v>34</v>
      </c>
      <c r="G8" s="4" t="s">
        <v>34</v>
      </c>
      <c r="H8" s="4" t="s">
        <v>29</v>
      </c>
      <c r="I8" s="4" t="s">
        <v>170</v>
      </c>
      <c r="J8" s="4" t="s">
        <v>24</v>
      </c>
      <c r="K8" s="4" t="s">
        <v>97</v>
      </c>
      <c r="L8" s="4" t="s">
        <v>175</v>
      </c>
    </row>
    <row r="9" spans="1:12" ht="16" x14ac:dyDescent="0.2">
      <c r="A9" s="5">
        <v>8</v>
      </c>
      <c r="B9" s="6" t="s">
        <v>113</v>
      </c>
      <c r="C9" s="6" t="s">
        <v>65</v>
      </c>
      <c r="D9" s="6" t="s">
        <v>66</v>
      </c>
      <c r="E9" s="6" t="s">
        <v>27</v>
      </c>
      <c r="F9" s="6" t="s">
        <v>27</v>
      </c>
      <c r="G9" s="6" t="s">
        <v>47</v>
      </c>
      <c r="H9" s="6" t="s">
        <v>54</v>
      </c>
      <c r="I9" s="6" t="s">
        <v>38</v>
      </c>
      <c r="J9" s="6" t="s">
        <v>94</v>
      </c>
      <c r="K9" s="6" t="s">
        <v>26</v>
      </c>
      <c r="L9" s="6" t="s">
        <v>26</v>
      </c>
    </row>
    <row r="10" spans="1:12" ht="16" x14ac:dyDescent="0.2">
      <c r="A10" s="3">
        <v>9</v>
      </c>
      <c r="B10" s="4" t="s">
        <v>114</v>
      </c>
      <c r="C10" s="4" t="s">
        <v>115</v>
      </c>
      <c r="D10" s="4" t="s">
        <v>116</v>
      </c>
      <c r="E10" s="4" t="s">
        <v>34</v>
      </c>
      <c r="F10" s="4" t="s">
        <v>34</v>
      </c>
      <c r="G10" s="4" t="s">
        <v>41</v>
      </c>
      <c r="H10" s="4" t="s">
        <v>165</v>
      </c>
      <c r="I10" s="4" t="s">
        <v>165</v>
      </c>
      <c r="J10" s="4" t="s">
        <v>21</v>
      </c>
      <c r="K10" s="4" t="s">
        <v>21</v>
      </c>
      <c r="L10" s="4" t="s">
        <v>26</v>
      </c>
    </row>
    <row r="11" spans="1:12" ht="16" x14ac:dyDescent="0.2">
      <c r="A11" s="5">
        <v>10</v>
      </c>
      <c r="B11" s="6" t="s">
        <v>119</v>
      </c>
      <c r="C11" s="6" t="s">
        <v>117</v>
      </c>
      <c r="D11" s="6" t="s">
        <v>118</v>
      </c>
      <c r="E11" s="6" t="s">
        <v>43</v>
      </c>
      <c r="F11" s="6" t="s">
        <v>58</v>
      </c>
      <c r="G11" s="6" t="s">
        <v>32</v>
      </c>
      <c r="H11" s="6" t="s">
        <v>75</v>
      </c>
      <c r="I11" s="6" t="s">
        <v>178</v>
      </c>
      <c r="J11" s="6" t="s">
        <v>26</v>
      </c>
      <c r="K11" s="6" t="s">
        <v>26</v>
      </c>
      <c r="L11" s="6" t="s">
        <v>26</v>
      </c>
    </row>
    <row r="12" spans="1:12" ht="16" x14ac:dyDescent="0.2">
      <c r="A12" s="3">
        <v>11</v>
      </c>
      <c r="B12" s="4" t="s">
        <v>120</v>
      </c>
      <c r="C12" s="7" t="s">
        <v>121</v>
      </c>
      <c r="D12" s="4" t="s">
        <v>100</v>
      </c>
      <c r="E12" s="4" t="s">
        <v>69</v>
      </c>
      <c r="F12" s="4" t="s">
        <v>47</v>
      </c>
      <c r="G12" s="4" t="s">
        <v>20</v>
      </c>
      <c r="H12" s="4" t="s">
        <v>74</v>
      </c>
      <c r="I12" s="4" t="s">
        <v>29</v>
      </c>
      <c r="J12" s="4" t="s">
        <v>51</v>
      </c>
      <c r="K12" s="4" t="s">
        <v>172</v>
      </c>
      <c r="L12" s="4" t="s">
        <v>173</v>
      </c>
    </row>
    <row r="13" spans="1:12" ht="16" x14ac:dyDescent="0.2">
      <c r="A13" s="5">
        <v>12</v>
      </c>
      <c r="B13" s="6" t="s">
        <v>122</v>
      </c>
      <c r="C13" s="6" t="s">
        <v>123</v>
      </c>
      <c r="D13" s="6" t="s">
        <v>87</v>
      </c>
      <c r="E13" s="6" t="s">
        <v>15</v>
      </c>
      <c r="F13" s="6" t="s">
        <v>34</v>
      </c>
      <c r="G13" s="6" t="s">
        <v>32</v>
      </c>
      <c r="H13" s="6" t="s">
        <v>47</v>
      </c>
      <c r="I13" s="6" t="s">
        <v>22</v>
      </c>
      <c r="J13" s="6" t="s">
        <v>76</v>
      </c>
      <c r="K13" s="6" t="s">
        <v>26</v>
      </c>
      <c r="L13" s="6" t="s">
        <v>26</v>
      </c>
    </row>
    <row r="14" spans="1:12" ht="16" x14ac:dyDescent="0.2">
      <c r="A14" s="3">
        <v>13</v>
      </c>
      <c r="B14" s="4" t="s">
        <v>124</v>
      </c>
      <c r="C14" s="4" t="s">
        <v>12</v>
      </c>
      <c r="D14" s="4" t="s">
        <v>13</v>
      </c>
      <c r="E14" s="4" t="s">
        <v>14</v>
      </c>
      <c r="F14" s="4" t="s">
        <v>14</v>
      </c>
      <c r="G14" s="4" t="s">
        <v>14</v>
      </c>
      <c r="H14" s="4" t="s">
        <v>42</v>
      </c>
      <c r="I14" s="4" t="s">
        <v>42</v>
      </c>
      <c r="J14" s="4" t="s">
        <v>42</v>
      </c>
      <c r="K14" s="4" t="s">
        <v>34</v>
      </c>
      <c r="L14" s="4" t="s">
        <v>26</v>
      </c>
    </row>
    <row r="15" spans="1:12" ht="16" x14ac:dyDescent="0.2">
      <c r="A15" s="5">
        <v>14</v>
      </c>
      <c r="B15" s="6" t="s">
        <v>125</v>
      </c>
      <c r="C15" s="6" t="s">
        <v>39</v>
      </c>
      <c r="D15" s="6" t="s">
        <v>40</v>
      </c>
      <c r="E15" s="6" t="s">
        <v>15</v>
      </c>
      <c r="F15" s="6" t="s">
        <v>41</v>
      </c>
      <c r="G15" s="6" t="s">
        <v>41</v>
      </c>
      <c r="H15" s="6" t="s">
        <v>41</v>
      </c>
      <c r="I15" s="6" t="s">
        <v>23</v>
      </c>
      <c r="J15" s="6" t="s">
        <v>23</v>
      </c>
      <c r="K15" s="6" t="s">
        <v>23</v>
      </c>
      <c r="L15" s="6" t="s">
        <v>20</v>
      </c>
    </row>
    <row r="16" spans="1:12" ht="16" x14ac:dyDescent="0.2">
      <c r="A16" s="3">
        <v>15</v>
      </c>
      <c r="B16" s="4" t="s">
        <v>126</v>
      </c>
      <c r="C16" s="4" t="s">
        <v>62</v>
      </c>
      <c r="D16" s="4" t="s">
        <v>63</v>
      </c>
      <c r="E16" s="4" t="s">
        <v>15</v>
      </c>
      <c r="F16" s="4" t="s">
        <v>15</v>
      </c>
      <c r="G16" s="4" t="s">
        <v>41</v>
      </c>
      <c r="H16" s="4" t="s">
        <v>41</v>
      </c>
      <c r="I16" s="4" t="s">
        <v>32</v>
      </c>
      <c r="J16" s="4" t="s">
        <v>29</v>
      </c>
      <c r="K16" s="4" t="s">
        <v>171</v>
      </c>
      <c r="L16" s="4" t="s">
        <v>171</v>
      </c>
    </row>
    <row r="17" spans="1:12" ht="16" x14ac:dyDescent="0.2">
      <c r="A17" s="5">
        <v>16</v>
      </c>
      <c r="B17" s="6" t="s">
        <v>127</v>
      </c>
      <c r="C17" s="6" t="s">
        <v>80</v>
      </c>
      <c r="D17" s="6" t="s">
        <v>81</v>
      </c>
      <c r="E17" s="6" t="s">
        <v>34</v>
      </c>
      <c r="F17" s="6" t="s">
        <v>34</v>
      </c>
      <c r="G17" s="6" t="s">
        <v>34</v>
      </c>
      <c r="H17" s="6" t="s">
        <v>54</v>
      </c>
      <c r="I17" s="6" t="s">
        <v>25</v>
      </c>
      <c r="J17" s="6" t="s">
        <v>26</v>
      </c>
      <c r="K17" s="6" t="s">
        <v>26</v>
      </c>
      <c r="L17" s="6" t="s">
        <v>26</v>
      </c>
    </row>
    <row r="18" spans="1:12" ht="16" x14ac:dyDescent="0.2">
      <c r="A18" s="3">
        <v>17</v>
      </c>
      <c r="B18" s="4" t="s">
        <v>128</v>
      </c>
      <c r="C18" s="4" t="s">
        <v>129</v>
      </c>
      <c r="D18" s="4" t="s">
        <v>130</v>
      </c>
      <c r="E18" s="4" t="s">
        <v>15</v>
      </c>
      <c r="F18" s="4" t="s">
        <v>54</v>
      </c>
      <c r="G18" s="4" t="s">
        <v>26</v>
      </c>
      <c r="H18" s="4" t="s">
        <v>41</v>
      </c>
      <c r="I18" s="4" t="s">
        <v>34</v>
      </c>
      <c r="J18" s="4" t="s">
        <v>37</v>
      </c>
      <c r="K18" s="4" t="s">
        <v>167</v>
      </c>
      <c r="L18" s="4" t="s">
        <v>26</v>
      </c>
    </row>
    <row r="19" spans="1:12" ht="16" x14ac:dyDescent="0.2">
      <c r="A19" s="5">
        <v>18</v>
      </c>
      <c r="B19" s="6" t="s">
        <v>131</v>
      </c>
      <c r="C19" s="6" t="s">
        <v>45</v>
      </c>
      <c r="D19" s="6" t="s">
        <v>46</v>
      </c>
      <c r="E19" s="6" t="s">
        <v>34</v>
      </c>
      <c r="F19" s="6" t="s">
        <v>47</v>
      </c>
      <c r="G19" s="6" t="s">
        <v>27</v>
      </c>
      <c r="H19" s="6" t="s">
        <v>54</v>
      </c>
      <c r="I19" s="6" t="s">
        <v>21</v>
      </c>
      <c r="J19" s="6" t="s">
        <v>31</v>
      </c>
      <c r="K19" s="6" t="s">
        <v>26</v>
      </c>
      <c r="L19" s="6" t="s">
        <v>26</v>
      </c>
    </row>
    <row r="20" spans="1:12" ht="16" x14ac:dyDescent="0.2">
      <c r="A20" s="3">
        <v>19</v>
      </c>
      <c r="B20" s="4" t="s">
        <v>133</v>
      </c>
      <c r="C20" s="4" t="s">
        <v>134</v>
      </c>
      <c r="D20" s="4" t="s">
        <v>135</v>
      </c>
      <c r="E20" s="4" t="s">
        <v>43</v>
      </c>
      <c r="F20" s="4" t="s">
        <v>75</v>
      </c>
      <c r="G20" s="4" t="s">
        <v>75</v>
      </c>
      <c r="H20" s="4" t="s">
        <v>42</v>
      </c>
      <c r="I20" s="4" t="s">
        <v>42</v>
      </c>
      <c r="J20" s="4" t="s">
        <v>51</v>
      </c>
      <c r="K20" s="4" t="s">
        <v>26</v>
      </c>
      <c r="L20" s="4" t="s">
        <v>26</v>
      </c>
    </row>
    <row r="21" spans="1:12" ht="16" x14ac:dyDescent="0.2">
      <c r="A21" s="5">
        <v>20</v>
      </c>
      <c r="B21" s="6" t="s">
        <v>132</v>
      </c>
      <c r="C21" s="6" t="s">
        <v>134</v>
      </c>
      <c r="D21" s="6" t="s">
        <v>136</v>
      </c>
      <c r="E21" s="6" t="s">
        <v>34</v>
      </c>
      <c r="F21" s="6" t="s">
        <v>34</v>
      </c>
      <c r="G21" s="6" t="s">
        <v>34</v>
      </c>
      <c r="H21" s="6" t="s">
        <v>54</v>
      </c>
      <c r="I21" s="6" t="s">
        <v>25</v>
      </c>
      <c r="J21" s="6" t="s">
        <v>26</v>
      </c>
      <c r="K21" s="6" t="s">
        <v>26</v>
      </c>
      <c r="L21" s="6" t="s">
        <v>26</v>
      </c>
    </row>
    <row r="22" spans="1:12" ht="16" x14ac:dyDescent="0.2">
      <c r="A22" s="3">
        <v>21</v>
      </c>
      <c r="B22" s="4" t="s">
        <v>137</v>
      </c>
      <c r="C22" s="4" t="s">
        <v>35</v>
      </c>
      <c r="D22" s="4" t="s">
        <v>36</v>
      </c>
      <c r="E22" s="4" t="s">
        <v>15</v>
      </c>
      <c r="F22" s="4" t="s">
        <v>34</v>
      </c>
      <c r="G22" s="4" t="s">
        <v>54</v>
      </c>
      <c r="H22" s="4" t="s">
        <v>75</v>
      </c>
      <c r="I22" s="4" t="s">
        <v>23</v>
      </c>
      <c r="J22" s="4" t="s">
        <v>51</v>
      </c>
      <c r="K22" s="4" t="s">
        <v>64</v>
      </c>
      <c r="L22" s="4" t="s">
        <v>64</v>
      </c>
    </row>
    <row r="23" spans="1:12" ht="16" x14ac:dyDescent="0.2">
      <c r="A23" s="5">
        <v>22</v>
      </c>
      <c r="B23" s="6" t="s">
        <v>138</v>
      </c>
      <c r="C23" s="6" t="s">
        <v>98</v>
      </c>
      <c r="D23" s="6" t="s">
        <v>99</v>
      </c>
      <c r="E23" s="6" t="s">
        <v>34</v>
      </c>
      <c r="F23" s="6" t="s">
        <v>37</v>
      </c>
      <c r="G23" s="6" t="s">
        <v>54</v>
      </c>
      <c r="H23" s="6" t="s">
        <v>44</v>
      </c>
      <c r="I23" s="6" t="s">
        <v>75</v>
      </c>
      <c r="J23" s="6" t="s">
        <v>38</v>
      </c>
      <c r="K23" s="6" t="s">
        <v>22</v>
      </c>
      <c r="L23" s="6" t="s">
        <v>50</v>
      </c>
    </row>
    <row r="24" spans="1:12" ht="16" x14ac:dyDescent="0.2">
      <c r="A24" s="3">
        <v>23</v>
      </c>
      <c r="B24" s="4" t="s">
        <v>139</v>
      </c>
      <c r="C24" s="4" t="s">
        <v>141</v>
      </c>
      <c r="D24" s="4" t="s">
        <v>142</v>
      </c>
      <c r="E24" s="4" t="s">
        <v>15</v>
      </c>
      <c r="F24" s="4" t="s">
        <v>15</v>
      </c>
      <c r="G24" s="4" t="s">
        <v>15</v>
      </c>
      <c r="H24" s="4" t="s">
        <v>23</v>
      </c>
      <c r="I24" s="4" t="s">
        <v>38</v>
      </c>
      <c r="J24" s="4" t="s">
        <v>26</v>
      </c>
      <c r="K24" s="4" t="s">
        <v>26</v>
      </c>
      <c r="L24" s="4" t="s">
        <v>26</v>
      </c>
    </row>
    <row r="25" spans="1:12" ht="16" x14ac:dyDescent="0.2">
      <c r="A25" s="5">
        <v>24</v>
      </c>
      <c r="B25" s="6" t="s">
        <v>140</v>
      </c>
      <c r="C25" s="6" t="s">
        <v>141</v>
      </c>
      <c r="D25" s="6" t="s">
        <v>143</v>
      </c>
      <c r="E25" s="6" t="s">
        <v>43</v>
      </c>
      <c r="F25" s="6" t="s">
        <v>14</v>
      </c>
      <c r="G25" s="6" t="s">
        <v>20</v>
      </c>
      <c r="H25" s="6" t="s">
        <v>61</v>
      </c>
      <c r="I25" s="6" t="s">
        <v>26</v>
      </c>
      <c r="J25" s="6" t="s">
        <v>26</v>
      </c>
      <c r="K25" s="6" t="s">
        <v>26</v>
      </c>
      <c r="L25" s="6" t="s">
        <v>26</v>
      </c>
    </row>
    <row r="26" spans="1:12" ht="16" x14ac:dyDescent="0.2">
      <c r="A26" s="3">
        <v>25</v>
      </c>
      <c r="B26" s="4" t="s">
        <v>144</v>
      </c>
      <c r="C26" s="4" t="s">
        <v>48</v>
      </c>
      <c r="D26" s="4" t="s">
        <v>49</v>
      </c>
      <c r="E26" s="4" t="s">
        <v>27</v>
      </c>
      <c r="F26" s="4" t="s">
        <v>33</v>
      </c>
      <c r="G26" s="4" t="s">
        <v>41</v>
      </c>
      <c r="H26" s="4" t="s">
        <v>75</v>
      </c>
      <c r="I26" s="4" t="s">
        <v>34</v>
      </c>
      <c r="J26" s="4" t="s">
        <v>16</v>
      </c>
      <c r="K26" s="4" t="s">
        <v>168</v>
      </c>
      <c r="L26" s="4" t="s">
        <v>26</v>
      </c>
    </row>
    <row r="27" spans="1:12" ht="16" x14ac:dyDescent="0.2">
      <c r="A27" s="5">
        <v>26</v>
      </c>
      <c r="B27" s="6" t="s">
        <v>145</v>
      </c>
      <c r="C27" s="6" t="s">
        <v>67</v>
      </c>
      <c r="D27" s="6" t="s">
        <v>68</v>
      </c>
      <c r="E27" s="6" t="s">
        <v>69</v>
      </c>
      <c r="F27" s="6" t="s">
        <v>15</v>
      </c>
      <c r="G27" s="6" t="s">
        <v>37</v>
      </c>
      <c r="H27" s="6" t="s">
        <v>20</v>
      </c>
      <c r="I27" s="6" t="s">
        <v>23</v>
      </c>
      <c r="J27" s="6" t="s">
        <v>26</v>
      </c>
      <c r="K27" s="6" t="s">
        <v>26</v>
      </c>
      <c r="L27" s="6" t="s">
        <v>26</v>
      </c>
    </row>
    <row r="28" spans="1:12" ht="16" x14ac:dyDescent="0.2">
      <c r="A28" s="3">
        <v>27</v>
      </c>
      <c r="B28" s="4" t="s">
        <v>147</v>
      </c>
      <c r="C28" s="4" t="s">
        <v>86</v>
      </c>
      <c r="D28" s="4" t="s">
        <v>57</v>
      </c>
      <c r="E28" s="4" t="s">
        <v>55</v>
      </c>
      <c r="F28" s="4" t="s">
        <v>55</v>
      </c>
      <c r="G28" s="4" t="s">
        <v>54</v>
      </c>
      <c r="H28" s="4" t="s">
        <v>43</v>
      </c>
      <c r="I28" s="4" t="s">
        <v>75</v>
      </c>
      <c r="J28" s="4" t="s">
        <v>55</v>
      </c>
      <c r="K28" s="4" t="s">
        <v>26</v>
      </c>
      <c r="L28" s="4" t="s">
        <v>26</v>
      </c>
    </row>
    <row r="29" spans="1:12" ht="16" x14ac:dyDescent="0.2">
      <c r="A29" s="5">
        <v>28</v>
      </c>
      <c r="B29" s="6" t="s">
        <v>148</v>
      </c>
      <c r="C29" s="6" t="s">
        <v>82</v>
      </c>
      <c r="D29" s="6" t="s">
        <v>83</v>
      </c>
      <c r="E29" s="6" t="s">
        <v>34</v>
      </c>
      <c r="F29" s="6" t="s">
        <v>34</v>
      </c>
      <c r="G29" s="6" t="s">
        <v>47</v>
      </c>
      <c r="H29" s="6" t="s">
        <v>44</v>
      </c>
      <c r="I29" s="6" t="s">
        <v>94</v>
      </c>
      <c r="J29" s="6" t="s">
        <v>178</v>
      </c>
      <c r="K29" s="6" t="s">
        <v>26</v>
      </c>
      <c r="L29" s="6" t="s">
        <v>26</v>
      </c>
    </row>
    <row r="30" spans="1:12" ht="16" x14ac:dyDescent="0.2">
      <c r="A30" s="3">
        <v>29</v>
      </c>
      <c r="B30" s="4" t="s">
        <v>149</v>
      </c>
      <c r="C30" s="4" t="s">
        <v>150</v>
      </c>
      <c r="D30" s="4" t="s">
        <v>151</v>
      </c>
      <c r="E30" s="4" t="s">
        <v>47</v>
      </c>
      <c r="F30" s="4" t="s">
        <v>47</v>
      </c>
      <c r="G30" s="4" t="s">
        <v>14</v>
      </c>
      <c r="H30" s="4" t="s">
        <v>14</v>
      </c>
      <c r="I30" s="4" t="s">
        <v>165</v>
      </c>
      <c r="J30" s="4" t="s">
        <v>165</v>
      </c>
      <c r="K30" s="4" t="s">
        <v>26</v>
      </c>
      <c r="L30" s="4" t="s">
        <v>26</v>
      </c>
    </row>
    <row r="31" spans="1:12" ht="16" x14ac:dyDescent="0.2">
      <c r="A31" s="5">
        <v>30</v>
      </c>
      <c r="B31" s="6" t="s">
        <v>152</v>
      </c>
      <c r="C31" s="6" t="s">
        <v>52</v>
      </c>
      <c r="D31" s="6" t="s">
        <v>53</v>
      </c>
      <c r="E31" s="6" t="s">
        <v>16</v>
      </c>
      <c r="F31" s="6" t="s">
        <v>180</v>
      </c>
      <c r="G31" s="6" t="s">
        <v>54</v>
      </c>
      <c r="H31" s="6" t="s">
        <v>32</v>
      </c>
      <c r="I31" s="6" t="s">
        <v>32</v>
      </c>
      <c r="J31" s="6" t="s">
        <v>94</v>
      </c>
      <c r="K31" s="6" t="s">
        <v>15</v>
      </c>
      <c r="L31" s="6" t="s">
        <v>33</v>
      </c>
    </row>
    <row r="32" spans="1:12" ht="16" x14ac:dyDescent="0.2">
      <c r="A32" s="3">
        <v>31</v>
      </c>
      <c r="B32" s="4" t="s">
        <v>91</v>
      </c>
      <c r="C32" s="4" t="s">
        <v>92</v>
      </c>
      <c r="D32" s="4" t="s">
        <v>93</v>
      </c>
      <c r="E32" s="4" t="s">
        <v>34</v>
      </c>
      <c r="F32" s="4" t="s">
        <v>27</v>
      </c>
      <c r="G32" s="4" t="s">
        <v>20</v>
      </c>
      <c r="H32" s="4" t="s">
        <v>74</v>
      </c>
      <c r="I32" s="4" t="s">
        <v>37</v>
      </c>
      <c r="J32" s="4" t="s">
        <v>179</v>
      </c>
      <c r="K32" s="4" t="s">
        <v>26</v>
      </c>
      <c r="L32" s="4" t="s">
        <v>26</v>
      </c>
    </row>
    <row r="33" spans="1:12" ht="16" x14ac:dyDescent="0.2">
      <c r="A33" s="5">
        <v>32</v>
      </c>
      <c r="B33" s="6" t="s">
        <v>153</v>
      </c>
      <c r="C33" s="6" t="s">
        <v>89</v>
      </c>
      <c r="D33" s="6" t="s">
        <v>90</v>
      </c>
      <c r="E33" s="6" t="s">
        <v>34</v>
      </c>
      <c r="F33" s="6" t="s">
        <v>32</v>
      </c>
      <c r="G33" s="6" t="s">
        <v>41</v>
      </c>
      <c r="H33" s="6" t="s">
        <v>94</v>
      </c>
      <c r="I33" s="6" t="s">
        <v>28</v>
      </c>
      <c r="J33" s="6" t="s">
        <v>169</v>
      </c>
      <c r="K33" s="6" t="s">
        <v>34</v>
      </c>
      <c r="L33" s="6" t="s">
        <v>94</v>
      </c>
    </row>
    <row r="34" spans="1:12" ht="16" x14ac:dyDescent="0.2">
      <c r="A34" s="3">
        <v>33</v>
      </c>
      <c r="B34" s="4" t="s">
        <v>159</v>
      </c>
      <c r="C34" s="4" t="s">
        <v>154</v>
      </c>
      <c r="D34" s="4" t="s">
        <v>155</v>
      </c>
      <c r="E34" s="4" t="s">
        <v>15</v>
      </c>
      <c r="F34" s="4" t="s">
        <v>15</v>
      </c>
      <c r="G34" s="4" t="s">
        <v>51</v>
      </c>
      <c r="H34" s="4" t="s">
        <v>29</v>
      </c>
      <c r="I34" s="4" t="s">
        <v>33</v>
      </c>
      <c r="J34" s="4" t="s">
        <v>167</v>
      </c>
      <c r="K34" s="4" t="s">
        <v>88</v>
      </c>
      <c r="L34" s="4" t="s">
        <v>22</v>
      </c>
    </row>
    <row r="35" spans="1:12" ht="16" x14ac:dyDescent="0.2">
      <c r="A35" s="5">
        <v>34</v>
      </c>
      <c r="B35" s="6" t="s">
        <v>162</v>
      </c>
      <c r="C35" s="6" t="s">
        <v>156</v>
      </c>
      <c r="D35" s="6" t="s">
        <v>99</v>
      </c>
      <c r="E35" s="6" t="s">
        <v>69</v>
      </c>
      <c r="F35" s="6" t="s">
        <v>75</v>
      </c>
      <c r="G35" s="6" t="s">
        <v>50</v>
      </c>
      <c r="H35" s="6" t="s">
        <v>27</v>
      </c>
      <c r="I35" s="6" t="s">
        <v>22</v>
      </c>
      <c r="J35" s="6" t="s">
        <v>32</v>
      </c>
      <c r="K35" s="6" t="s">
        <v>28</v>
      </c>
      <c r="L35" s="6" t="s">
        <v>168</v>
      </c>
    </row>
    <row r="36" spans="1:12" ht="16" x14ac:dyDescent="0.2">
      <c r="A36" s="3">
        <v>35</v>
      </c>
      <c r="B36" s="4" t="s">
        <v>163</v>
      </c>
      <c r="C36" s="4" t="s">
        <v>72</v>
      </c>
      <c r="D36" s="4" t="s">
        <v>73</v>
      </c>
      <c r="E36" s="4" t="s">
        <v>14</v>
      </c>
      <c r="F36" s="4" t="s">
        <v>14</v>
      </c>
      <c r="G36" s="4" t="s">
        <v>34</v>
      </c>
      <c r="H36" s="4" t="s">
        <v>34</v>
      </c>
      <c r="I36" s="4" t="s">
        <v>75</v>
      </c>
      <c r="J36" s="4" t="s">
        <v>25</v>
      </c>
      <c r="K36" s="4" t="s">
        <v>26</v>
      </c>
      <c r="L36" s="4" t="s">
        <v>26</v>
      </c>
    </row>
    <row r="37" spans="1:12" ht="16" x14ac:dyDescent="0.2">
      <c r="A37" s="5">
        <v>36</v>
      </c>
      <c r="B37" s="6" t="s">
        <v>101</v>
      </c>
      <c r="C37" s="6" t="s">
        <v>102</v>
      </c>
      <c r="D37" s="6" t="s">
        <v>103</v>
      </c>
      <c r="E37" s="6" t="s">
        <v>43</v>
      </c>
      <c r="F37" s="6" t="s">
        <v>15</v>
      </c>
      <c r="G37" s="6" t="s">
        <v>166</v>
      </c>
      <c r="H37" s="6" t="s">
        <v>170</v>
      </c>
      <c r="I37" s="6" t="s">
        <v>26</v>
      </c>
      <c r="J37" s="6" t="s">
        <v>26</v>
      </c>
      <c r="K37" s="6" t="s">
        <v>26</v>
      </c>
      <c r="L37" s="6" t="s">
        <v>26</v>
      </c>
    </row>
    <row r="38" spans="1:12" ht="16" x14ac:dyDescent="0.2">
      <c r="A38" s="3">
        <v>37</v>
      </c>
      <c r="B38" s="4" t="s">
        <v>160</v>
      </c>
      <c r="C38" s="4" t="s">
        <v>157</v>
      </c>
      <c r="D38" s="4" t="s">
        <v>158</v>
      </c>
      <c r="E38" s="4" t="s">
        <v>43</v>
      </c>
      <c r="F38" s="4" t="s">
        <v>58</v>
      </c>
      <c r="G38" s="4" t="s">
        <v>54</v>
      </c>
      <c r="H38" s="4" t="s">
        <v>22</v>
      </c>
      <c r="I38" s="4" t="s">
        <v>168</v>
      </c>
      <c r="J38" s="4" t="s">
        <v>26</v>
      </c>
      <c r="K38" s="4" t="s">
        <v>26</v>
      </c>
      <c r="L38" s="4" t="s">
        <v>26</v>
      </c>
    </row>
    <row r="39" spans="1:12" ht="16" x14ac:dyDescent="0.2">
      <c r="A39" s="5">
        <v>38</v>
      </c>
      <c r="B39" s="6" t="s">
        <v>17</v>
      </c>
      <c r="C39" s="6" t="s">
        <v>18</v>
      </c>
      <c r="D39" s="6" t="s">
        <v>19</v>
      </c>
      <c r="E39" s="6" t="s">
        <v>15</v>
      </c>
      <c r="F39" s="6" t="s">
        <v>15</v>
      </c>
      <c r="G39" s="6" t="s">
        <v>47</v>
      </c>
      <c r="H39" s="6" t="s">
        <v>75</v>
      </c>
      <c r="I39" s="6" t="s">
        <v>28</v>
      </c>
      <c r="J39" s="6" t="s">
        <v>168</v>
      </c>
      <c r="K39" s="6" t="s">
        <v>24</v>
      </c>
      <c r="L39" s="6" t="s">
        <v>177</v>
      </c>
    </row>
    <row r="40" spans="1:12" ht="16" x14ac:dyDescent="0.2">
      <c r="A40" s="3">
        <v>39</v>
      </c>
      <c r="B40" s="4" t="s">
        <v>161</v>
      </c>
      <c r="C40" s="4" t="s">
        <v>70</v>
      </c>
      <c r="D40" s="4" t="s">
        <v>71</v>
      </c>
      <c r="E40" s="4" t="s">
        <v>34</v>
      </c>
      <c r="F40" s="4" t="s">
        <v>27</v>
      </c>
      <c r="G40" s="4" t="s">
        <v>176</v>
      </c>
      <c r="H40" s="4" t="s">
        <v>164</v>
      </c>
      <c r="I40" s="4" t="s">
        <v>75</v>
      </c>
      <c r="J40" s="4" t="s">
        <v>54</v>
      </c>
      <c r="K40" s="4" t="s">
        <v>55</v>
      </c>
      <c r="L40" s="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0964-0CB0-EA49-A6DF-03DC33DF2CC0}">
  <dimension ref="A1:U42"/>
  <sheetViews>
    <sheetView zoomScale="150" zoomScaleNormal="150" workbookViewId="0">
      <selection activeCell="T2" sqref="T2:T40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5" width="18.5" bestFit="1" customWidth="1"/>
    <col min="6" max="6" width="6.1640625" customWidth="1"/>
    <col min="7" max="7" width="18.5" bestFit="1" customWidth="1"/>
    <col min="8" max="8" width="4.83203125" customWidth="1"/>
    <col min="9" max="9" width="18.5" bestFit="1" customWidth="1"/>
    <col min="10" max="10" width="4.83203125" customWidth="1"/>
    <col min="11" max="11" width="19.1640625" bestFit="1" customWidth="1"/>
    <col min="12" max="12" width="4.83203125" customWidth="1"/>
    <col min="13" max="13" width="20.1640625" bestFit="1" customWidth="1"/>
    <col min="14" max="14" width="4.83203125" customWidth="1"/>
    <col min="15" max="15" width="17.6640625" bestFit="1" customWidth="1"/>
    <col min="16" max="16" width="4.83203125" customWidth="1"/>
    <col min="17" max="17" width="18.6640625" bestFit="1" customWidth="1"/>
    <col min="18" max="18" width="4.83203125" customWidth="1"/>
    <col min="19" max="19" width="18.6640625" bestFit="1" customWidth="1"/>
    <col min="20" max="20" width="4.83203125" customWidth="1"/>
    <col min="21" max="21" width="13" customWidth="1"/>
  </cols>
  <sheetData>
    <row r="1" spans="1:21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/>
      <c r="I1" s="2" t="s">
        <v>6</v>
      </c>
      <c r="J1" s="2"/>
      <c r="K1" s="2" t="s">
        <v>7</v>
      </c>
      <c r="L1" s="2"/>
      <c r="M1" s="2" t="s">
        <v>8</v>
      </c>
      <c r="N1" s="2"/>
      <c r="O1" s="2" t="s">
        <v>9</v>
      </c>
      <c r="P1" s="2"/>
      <c r="Q1" s="2" t="s">
        <v>10</v>
      </c>
      <c r="R1" s="2"/>
      <c r="S1" s="2" t="s">
        <v>11</v>
      </c>
      <c r="T1" s="2"/>
      <c r="U1" s="2" t="s">
        <v>183</v>
      </c>
    </row>
    <row r="2" spans="1:21" ht="16" x14ac:dyDescent="0.2">
      <c r="A2" s="3">
        <v>1</v>
      </c>
      <c r="B2" s="4" t="s">
        <v>104</v>
      </c>
      <c r="C2" s="4" t="s">
        <v>79</v>
      </c>
      <c r="D2" s="4" t="s">
        <v>105</v>
      </c>
      <c r="E2" s="4" t="s">
        <v>15</v>
      </c>
      <c r="F2" s="22">
        <f>+VLOOKUP(E2,scoring!$U$10:$AA$105,3,FALSE)-72</f>
        <v>-4</v>
      </c>
      <c r="G2" s="4" t="s">
        <v>20</v>
      </c>
      <c r="H2" s="22">
        <f>+VLOOKUP(G2,scoring!$U$10:$AA$105,3,FALSE)-72</f>
        <v>2</v>
      </c>
      <c r="I2" s="4" t="s">
        <v>58</v>
      </c>
      <c r="J2" s="22">
        <f>+VLOOKUP(I2,scoring!$U$10:$AA$105,3,FALSE)-72</f>
        <v>1</v>
      </c>
      <c r="K2" s="4" t="s">
        <v>44</v>
      </c>
      <c r="L2" s="22">
        <f>+VLOOKUP(K2,scoring!$U$10:$AA$105,3,FALSE)-72</f>
        <v>2</v>
      </c>
      <c r="M2" s="4" t="s">
        <v>30</v>
      </c>
      <c r="N2" s="22">
        <f>+VLOOKUP(M2,scoring!$U$10:$AA$105,3,FALSE)-72</f>
        <v>0</v>
      </c>
      <c r="O2" s="4" t="s">
        <v>30</v>
      </c>
      <c r="P2" s="22">
        <f>+VLOOKUP(O2,scoring!$U$10:$AA$105,3,FALSE)-72</f>
        <v>0</v>
      </c>
      <c r="Q2" s="4" t="s">
        <v>74</v>
      </c>
      <c r="R2" s="22">
        <f>+VLOOKUP(Q2,scoring!$U$10:$AA$105,3,FALSE)-72</f>
        <v>1</v>
      </c>
      <c r="S2" s="4" t="s">
        <v>24</v>
      </c>
      <c r="T2" s="22">
        <f>+VLOOKUP(S2,scoring!$U$10:$AA$105,3,FALSE)-72</f>
        <v>0</v>
      </c>
      <c r="U2" s="22">
        <f>IFERROR(SMALL(E2:T2,1)+SMALL(E2:T2,2)+SMALL(E2:T2,3),IFERROR(SMALL(E2:T2,1)+SMALL(E2:T2,2),IFERROR(SMALL(E2:T2,1),"-")))</f>
        <v>-4</v>
      </c>
    </row>
    <row r="3" spans="1:21" ht="16" x14ac:dyDescent="0.2">
      <c r="A3" s="5">
        <v>2</v>
      </c>
      <c r="B3" s="6" t="s">
        <v>106</v>
      </c>
      <c r="C3" s="6" t="s">
        <v>95</v>
      </c>
      <c r="D3" s="6" t="s">
        <v>96</v>
      </c>
      <c r="E3" s="6" t="s">
        <v>27</v>
      </c>
      <c r="F3" s="6">
        <f>+VLOOKUP(E3,scoring!$U$10:$AA$105,3,FALSE)-72</f>
        <v>1</v>
      </c>
      <c r="G3" s="6" t="s">
        <v>27</v>
      </c>
      <c r="H3" s="6">
        <f>+VLOOKUP(G3,scoring!$U$10:$AA$105,3,FALSE)-72</f>
        <v>1</v>
      </c>
      <c r="I3" s="6" t="s">
        <v>20</v>
      </c>
      <c r="J3" s="6">
        <f>+VLOOKUP(I3,scoring!$U$10:$AA$105,3,FALSE)-72</f>
        <v>2</v>
      </c>
      <c r="K3" s="6" t="s">
        <v>20</v>
      </c>
      <c r="L3" s="6">
        <f>+VLOOKUP(K3,scoring!$U$10:$AA$105,3,FALSE)-72</f>
        <v>2</v>
      </c>
      <c r="M3" s="6" t="s">
        <v>22</v>
      </c>
      <c r="N3" s="6">
        <f>+VLOOKUP(M3,scoring!$U$10:$AA$105,3,FALSE)-72</f>
        <v>3</v>
      </c>
      <c r="O3" s="6" t="s">
        <v>22</v>
      </c>
      <c r="P3" s="6">
        <f>+VLOOKUP(O3,scoring!$U$10:$AA$105,3,FALSE)-72</f>
        <v>3</v>
      </c>
      <c r="Q3" s="6" t="s">
        <v>24</v>
      </c>
      <c r="R3" s="6">
        <f>+VLOOKUP(Q3,scoring!$U$10:$AA$105,3,FALSE)-72</f>
        <v>0</v>
      </c>
      <c r="S3" s="6" t="s">
        <v>170</v>
      </c>
      <c r="T3" s="6">
        <f>+VLOOKUP(S3,scoring!$U$10:$AA$105,3,FALSE)-72</f>
        <v>0</v>
      </c>
      <c r="U3" s="6">
        <f t="shared" ref="U3:U40" si="0">IFERROR(SMALL(E3:T3,1)+SMALL(E3:T3,2)+SMALL(E3:T3,3),IFERROR(SMALL(E3:T3,1)+SMALL(E3:T3,2),IFERROR(SMALL(E3:T3,1),"-")))</f>
        <v>1</v>
      </c>
    </row>
    <row r="4" spans="1:21" ht="16" x14ac:dyDescent="0.2">
      <c r="A4" s="3">
        <v>3</v>
      </c>
      <c r="B4" s="4" t="s">
        <v>109</v>
      </c>
      <c r="C4" s="4" t="s">
        <v>107</v>
      </c>
      <c r="D4" s="4" t="s">
        <v>108</v>
      </c>
      <c r="E4" s="4" t="s">
        <v>34</v>
      </c>
      <c r="F4" s="4">
        <f>+VLOOKUP(E4,scoring!$U$10:$AA$105,3,FALSE)-72</f>
        <v>0</v>
      </c>
      <c r="G4" s="4" t="s">
        <v>37</v>
      </c>
      <c r="H4" s="4">
        <f>+VLOOKUP(G4,scoring!$U$10:$AA$105,3,FALSE)-72</f>
        <v>1</v>
      </c>
      <c r="I4" s="4" t="s">
        <v>37</v>
      </c>
      <c r="J4" s="4">
        <f>+VLOOKUP(I4,scoring!$U$10:$AA$105,3,FALSE)-72</f>
        <v>1</v>
      </c>
      <c r="K4" s="4" t="s">
        <v>20</v>
      </c>
      <c r="L4" s="4">
        <f>+VLOOKUP(K4,scoring!$U$10:$AA$105,3,FALSE)-72</f>
        <v>2</v>
      </c>
      <c r="M4" s="4" t="s">
        <v>165</v>
      </c>
      <c r="N4" s="4">
        <f>+VLOOKUP(M4,scoring!$U$10:$AA$105,3,FALSE)-72</f>
        <v>3</v>
      </c>
      <c r="O4" s="4" t="s">
        <v>21</v>
      </c>
      <c r="P4" s="4">
        <f>+VLOOKUP(O4,scoring!$U$10:$AA$105,3,FALSE)-72</f>
        <v>2</v>
      </c>
      <c r="Q4" s="4" t="s">
        <v>64</v>
      </c>
      <c r="R4" s="4">
        <f>+VLOOKUP(Q4,scoring!$U$10:$AA$105,3,FALSE)-72</f>
        <v>3</v>
      </c>
      <c r="S4" s="4" t="s">
        <v>174</v>
      </c>
      <c r="T4" s="4">
        <f>+VLOOKUP(S4,scoring!$U$10:$AA$105,3,FALSE)-72</f>
        <v>5</v>
      </c>
      <c r="U4" s="4">
        <f t="shared" si="0"/>
        <v>2</v>
      </c>
    </row>
    <row r="5" spans="1:21" ht="16" x14ac:dyDescent="0.2">
      <c r="A5" s="5">
        <v>4</v>
      </c>
      <c r="B5" s="6" t="s">
        <v>110</v>
      </c>
      <c r="C5" s="6" t="s">
        <v>77</v>
      </c>
      <c r="D5" s="6" t="s">
        <v>78</v>
      </c>
      <c r="E5" s="6" t="s">
        <v>15</v>
      </c>
      <c r="F5" s="6">
        <f>+VLOOKUP(E5,scoring!$U$10:$AA$105,3,FALSE)-72</f>
        <v>-4</v>
      </c>
      <c r="G5" s="6" t="s">
        <v>33</v>
      </c>
      <c r="H5" s="6">
        <f>+VLOOKUP(G5,scoring!$U$10:$AA$105,3,FALSE)-72</f>
        <v>1</v>
      </c>
      <c r="I5" s="6" t="s">
        <v>37</v>
      </c>
      <c r="J5" s="6">
        <f>+VLOOKUP(I5,scoring!$U$10:$AA$105,3,FALSE)-72</f>
        <v>1</v>
      </c>
      <c r="K5" s="6" t="s">
        <v>41</v>
      </c>
      <c r="L5" s="6">
        <f>+VLOOKUP(K5,scoring!$U$10:$AA$105,3,FALSE)-72</f>
        <v>7</v>
      </c>
      <c r="M5" s="6" t="s">
        <v>42</v>
      </c>
      <c r="N5" s="6">
        <f>+VLOOKUP(M5,scoring!$U$10:$AA$105,3,FALSE)-72</f>
        <v>-2</v>
      </c>
      <c r="O5" s="6" t="s">
        <v>42</v>
      </c>
      <c r="P5" s="6">
        <f>+VLOOKUP(O5,scoring!$U$10:$AA$105,3,FALSE)-72</f>
        <v>-2</v>
      </c>
      <c r="Q5" s="6" t="s">
        <v>38</v>
      </c>
      <c r="R5" s="6">
        <f>+VLOOKUP(Q5,scoring!$U$10:$AA$105,3,FALSE)-72</f>
        <v>-4</v>
      </c>
      <c r="S5" s="6" t="s">
        <v>171</v>
      </c>
      <c r="T5" s="6">
        <f>+VLOOKUP(S5,scoring!$U$10:$AA$105,3,FALSE)-72</f>
        <v>6</v>
      </c>
      <c r="U5" s="6">
        <f t="shared" si="0"/>
        <v>-10</v>
      </c>
    </row>
    <row r="6" spans="1:21" ht="16" x14ac:dyDescent="0.2">
      <c r="A6" s="3">
        <v>5</v>
      </c>
      <c r="B6" s="4" t="s">
        <v>146</v>
      </c>
      <c r="C6" s="4" t="s">
        <v>59</v>
      </c>
      <c r="D6" s="4" t="s">
        <v>60</v>
      </c>
      <c r="E6" s="4" t="s">
        <v>33</v>
      </c>
      <c r="F6" s="4">
        <f>+VLOOKUP(E6,scoring!$U$10:$AA$105,3,FALSE)-72</f>
        <v>1</v>
      </c>
      <c r="G6" s="4" t="s">
        <v>33</v>
      </c>
      <c r="H6" s="4">
        <f>+VLOOKUP(G6,scoring!$U$10:$AA$105,3,FALSE)-72</f>
        <v>1</v>
      </c>
      <c r="I6" s="4" t="s">
        <v>54</v>
      </c>
      <c r="J6" s="4">
        <f>+VLOOKUP(I6,scoring!$U$10:$AA$105,3,FALSE)-72</f>
        <v>-1</v>
      </c>
      <c r="K6" s="4" t="s">
        <v>41</v>
      </c>
      <c r="L6" s="4">
        <f>+VLOOKUP(K6,scoring!$U$10:$AA$105,3,FALSE)-72</f>
        <v>7</v>
      </c>
      <c r="M6" s="4" t="s">
        <v>41</v>
      </c>
      <c r="N6" s="4">
        <f>+VLOOKUP(M6,scoring!$U$10:$AA$105,3,FALSE)-72</f>
        <v>7</v>
      </c>
      <c r="O6" s="4" t="s">
        <v>165</v>
      </c>
      <c r="P6" s="4">
        <f>+VLOOKUP(O6,scoring!$U$10:$AA$105,3,FALSE)-72</f>
        <v>3</v>
      </c>
      <c r="Q6" s="4" t="s">
        <v>75</v>
      </c>
      <c r="R6" s="4">
        <f>+VLOOKUP(Q6,scoring!$U$10:$AA$105,3,FALSE)-72</f>
        <v>-1</v>
      </c>
      <c r="S6" s="4" t="s">
        <v>21</v>
      </c>
      <c r="T6" s="4">
        <f>+VLOOKUP(S6,scoring!$U$10:$AA$105,3,FALSE)-72</f>
        <v>2</v>
      </c>
      <c r="U6" s="4">
        <f t="shared" si="0"/>
        <v>-1</v>
      </c>
    </row>
    <row r="7" spans="1:21" ht="16" x14ac:dyDescent="0.2">
      <c r="A7" s="5">
        <v>6</v>
      </c>
      <c r="B7" s="6" t="s">
        <v>111</v>
      </c>
      <c r="C7" s="6" t="s">
        <v>84</v>
      </c>
      <c r="D7" s="6" t="s">
        <v>85</v>
      </c>
      <c r="E7" s="6" t="s">
        <v>32</v>
      </c>
      <c r="F7" s="6">
        <f>+VLOOKUP(E7,scoring!$U$10:$AA$105,3,FALSE)-72</f>
        <v>-1</v>
      </c>
      <c r="G7" s="6" t="s">
        <v>32</v>
      </c>
      <c r="H7" s="6">
        <f>+VLOOKUP(G7,scoring!$U$10:$AA$105,3,FALSE)-72</f>
        <v>-1</v>
      </c>
      <c r="I7" s="6" t="s">
        <v>74</v>
      </c>
      <c r="J7" s="6">
        <f>+VLOOKUP(I7,scoring!$U$10:$AA$105,3,FALSE)-72</f>
        <v>1</v>
      </c>
      <c r="K7" s="6" t="s">
        <v>74</v>
      </c>
      <c r="L7" s="6">
        <f>+VLOOKUP(K7,scoring!$U$10:$AA$105,3,FALSE)-72</f>
        <v>1</v>
      </c>
      <c r="M7" s="6" t="s">
        <v>37</v>
      </c>
      <c r="N7" s="6">
        <f>+VLOOKUP(M7,scoring!$U$10:$AA$105,3,FALSE)-72</f>
        <v>1</v>
      </c>
      <c r="O7" s="6" t="s">
        <v>37</v>
      </c>
      <c r="P7" s="6">
        <f>+VLOOKUP(O7,scoring!$U$10:$AA$105,3,FALSE)-72</f>
        <v>1</v>
      </c>
      <c r="Q7" s="6" t="s">
        <v>50</v>
      </c>
      <c r="R7" s="6">
        <f>+VLOOKUP(Q7,scoring!$U$10:$AA$105,3,FALSE)-72</f>
        <v>-2</v>
      </c>
      <c r="S7" s="6" t="s">
        <v>50</v>
      </c>
      <c r="T7" s="6">
        <f>+VLOOKUP(S7,scoring!$U$10:$AA$105,3,FALSE)-72</f>
        <v>-2</v>
      </c>
      <c r="U7" s="6">
        <f t="shared" si="0"/>
        <v>-5</v>
      </c>
    </row>
    <row r="8" spans="1:21" ht="16" x14ac:dyDescent="0.2">
      <c r="A8" s="3">
        <v>7</v>
      </c>
      <c r="B8" s="4" t="s">
        <v>112</v>
      </c>
      <c r="C8" s="4" t="s">
        <v>56</v>
      </c>
      <c r="D8" s="4" t="s">
        <v>57</v>
      </c>
      <c r="E8" s="4" t="s">
        <v>34</v>
      </c>
      <c r="F8" s="4">
        <f>+VLOOKUP(E8,scoring!$U$10:$AA$105,3,FALSE)-72</f>
        <v>0</v>
      </c>
      <c r="G8" s="4" t="s">
        <v>34</v>
      </c>
      <c r="H8" s="4">
        <f>+VLOOKUP(G8,scoring!$U$10:$AA$105,3,FALSE)-72</f>
        <v>0</v>
      </c>
      <c r="I8" s="4" t="s">
        <v>34</v>
      </c>
      <c r="J8" s="4">
        <f>+VLOOKUP(I8,scoring!$U$10:$AA$105,3,FALSE)-72</f>
        <v>0</v>
      </c>
      <c r="K8" s="4" t="s">
        <v>29</v>
      </c>
      <c r="L8" s="4">
        <f>+VLOOKUP(K8,scoring!$U$10:$AA$105,3,FALSE)-72</f>
        <v>-1</v>
      </c>
      <c r="M8" s="4" t="s">
        <v>170</v>
      </c>
      <c r="N8" s="4">
        <f>+VLOOKUP(M8,scoring!$U$10:$AA$105,3,FALSE)-72</f>
        <v>0</v>
      </c>
      <c r="O8" s="4" t="s">
        <v>24</v>
      </c>
      <c r="P8" s="4">
        <f>+VLOOKUP(O8,scoring!$U$10:$AA$105,3,FALSE)-72</f>
        <v>0</v>
      </c>
      <c r="Q8" s="4" t="s">
        <v>97</v>
      </c>
      <c r="R8" s="4">
        <f>+VLOOKUP(Q8,scoring!$U$10:$AA$105,3,FALSE)-72</f>
        <v>0</v>
      </c>
      <c r="S8" s="4" t="s">
        <v>175</v>
      </c>
      <c r="T8" s="4">
        <f>+VLOOKUP(S8,scoring!$U$10:$AA$105,3,FALSE)-72</f>
        <v>-1</v>
      </c>
      <c r="U8" s="4">
        <f t="shared" si="0"/>
        <v>-2</v>
      </c>
    </row>
    <row r="9" spans="1:21" ht="16" x14ac:dyDescent="0.2">
      <c r="A9" s="5">
        <v>8</v>
      </c>
      <c r="B9" s="6" t="s">
        <v>113</v>
      </c>
      <c r="C9" s="6" t="s">
        <v>65</v>
      </c>
      <c r="D9" s="6" t="s">
        <v>66</v>
      </c>
      <c r="E9" s="6" t="s">
        <v>27</v>
      </c>
      <c r="F9" s="6">
        <f>+VLOOKUP(E9,scoring!$U$10:$AA$105,3,FALSE)-72</f>
        <v>1</v>
      </c>
      <c r="G9" s="6" t="s">
        <v>27</v>
      </c>
      <c r="H9" s="6">
        <f>+VLOOKUP(G9,scoring!$U$10:$AA$105,3,FALSE)-72</f>
        <v>1</v>
      </c>
      <c r="I9" s="6" t="s">
        <v>47</v>
      </c>
      <c r="J9" s="6">
        <f>+VLOOKUP(I9,scoring!$U$10:$AA$105,3,FALSE)-72</f>
        <v>-3</v>
      </c>
      <c r="K9" s="6" t="s">
        <v>54</v>
      </c>
      <c r="L9" s="6">
        <f>+VLOOKUP(K9,scoring!$U$10:$AA$105,3,FALSE)-72</f>
        <v>-1</v>
      </c>
      <c r="M9" s="6" t="s">
        <v>38</v>
      </c>
      <c r="N9" s="6">
        <f>+VLOOKUP(M9,scoring!$U$10:$AA$105,3,FALSE)-72</f>
        <v>-4</v>
      </c>
      <c r="O9" s="6" t="s">
        <v>94</v>
      </c>
      <c r="P9" s="6">
        <f>+VLOOKUP(O9,scoring!$U$10:$AA$105,3,FALSE)-72</f>
        <v>6</v>
      </c>
      <c r="Q9" s="6" t="s">
        <v>26</v>
      </c>
      <c r="R9" s="6">
        <f>+VLOOKUP(Q9,scoring!$U$10:$AA$105,3,FALSE)-72</f>
        <v>19</v>
      </c>
      <c r="S9" s="6" t="s">
        <v>26</v>
      </c>
      <c r="T9" s="6">
        <f>+VLOOKUP(S9,scoring!$U$10:$AA$105,3,FALSE)-72</f>
        <v>19</v>
      </c>
      <c r="U9" s="6">
        <f t="shared" si="0"/>
        <v>-8</v>
      </c>
    </row>
    <row r="10" spans="1:21" ht="16" x14ac:dyDescent="0.2">
      <c r="A10" s="3">
        <v>9</v>
      </c>
      <c r="B10" s="4" t="s">
        <v>114</v>
      </c>
      <c r="C10" s="4" t="s">
        <v>115</v>
      </c>
      <c r="D10" s="4" t="s">
        <v>116</v>
      </c>
      <c r="E10" s="4" t="s">
        <v>34</v>
      </c>
      <c r="F10" s="4">
        <f>+VLOOKUP(E10,scoring!$U$10:$AA$105,3,FALSE)-72</f>
        <v>0</v>
      </c>
      <c r="G10" s="4" t="s">
        <v>34</v>
      </c>
      <c r="H10" s="4">
        <f>+VLOOKUP(G10,scoring!$U$10:$AA$105,3,FALSE)-72</f>
        <v>0</v>
      </c>
      <c r="I10" s="4" t="s">
        <v>41</v>
      </c>
      <c r="J10" s="4">
        <f>+VLOOKUP(I10,scoring!$U$10:$AA$105,3,FALSE)-72</f>
        <v>7</v>
      </c>
      <c r="K10" s="4" t="s">
        <v>165</v>
      </c>
      <c r="L10" s="4">
        <f>+VLOOKUP(K10,scoring!$U$10:$AA$105,3,FALSE)-72</f>
        <v>3</v>
      </c>
      <c r="M10" s="4" t="s">
        <v>165</v>
      </c>
      <c r="N10" s="4">
        <f>+VLOOKUP(M10,scoring!$U$10:$AA$105,3,FALSE)-72</f>
        <v>3</v>
      </c>
      <c r="O10" s="4" t="s">
        <v>21</v>
      </c>
      <c r="P10" s="4">
        <f>+VLOOKUP(O10,scoring!$U$10:$AA$105,3,FALSE)-72</f>
        <v>2</v>
      </c>
      <c r="Q10" s="4" t="s">
        <v>21</v>
      </c>
      <c r="R10" s="4">
        <f>+VLOOKUP(Q10,scoring!$U$10:$AA$105,3,FALSE)-72</f>
        <v>2</v>
      </c>
      <c r="S10" s="4" t="s">
        <v>26</v>
      </c>
      <c r="T10" s="4">
        <f>+VLOOKUP(S10,scoring!$U$10:$AA$105,3,FALSE)-72</f>
        <v>19</v>
      </c>
      <c r="U10" s="4">
        <f t="shared" si="0"/>
        <v>2</v>
      </c>
    </row>
    <row r="11" spans="1:21" ht="16" x14ac:dyDescent="0.2">
      <c r="A11" s="5">
        <v>10</v>
      </c>
      <c r="B11" s="6" t="s">
        <v>119</v>
      </c>
      <c r="C11" s="6" t="s">
        <v>117</v>
      </c>
      <c r="D11" s="6" t="s">
        <v>118</v>
      </c>
      <c r="E11" s="6" t="s">
        <v>43</v>
      </c>
      <c r="F11" s="6">
        <f>+VLOOKUP(E11,scoring!$U$10:$AA$105,3,FALSE)-72</f>
        <v>0</v>
      </c>
      <c r="G11" s="6" t="s">
        <v>58</v>
      </c>
      <c r="H11" s="6">
        <f>+VLOOKUP(G11,scoring!$U$10:$AA$105,3,FALSE)-72</f>
        <v>1</v>
      </c>
      <c r="I11" s="6" t="s">
        <v>32</v>
      </c>
      <c r="J11" s="6">
        <f>+VLOOKUP(I11,scoring!$U$10:$AA$105,3,FALSE)-72</f>
        <v>-1</v>
      </c>
      <c r="K11" s="6" t="s">
        <v>75</v>
      </c>
      <c r="L11" s="6">
        <f>+VLOOKUP(K11,scoring!$U$10:$AA$105,3,FALSE)-72</f>
        <v>-1</v>
      </c>
      <c r="M11" s="6" t="s">
        <v>178</v>
      </c>
      <c r="N11" s="6">
        <f>+VLOOKUP(M11,scoring!$U$10:$AA$105,3,FALSE)-72</f>
        <v>6</v>
      </c>
      <c r="O11" s="6" t="s">
        <v>26</v>
      </c>
      <c r="P11" s="6">
        <f>+VLOOKUP(O11,scoring!$U$10:$AA$105,3,FALSE)-72</f>
        <v>19</v>
      </c>
      <c r="Q11" s="6" t="s">
        <v>26</v>
      </c>
      <c r="R11" s="6">
        <f>+VLOOKUP(Q11,scoring!$U$10:$AA$105,3,FALSE)-72</f>
        <v>19</v>
      </c>
      <c r="S11" s="6" t="s">
        <v>26</v>
      </c>
      <c r="T11" s="6">
        <f>+VLOOKUP(S11,scoring!$U$10:$AA$105,3,FALSE)-72</f>
        <v>19</v>
      </c>
      <c r="U11" s="6">
        <f t="shared" si="0"/>
        <v>-2</v>
      </c>
    </row>
    <row r="12" spans="1:21" ht="16" x14ac:dyDescent="0.2">
      <c r="A12" s="3">
        <v>11</v>
      </c>
      <c r="B12" s="4" t="s">
        <v>247</v>
      </c>
      <c r="C12" s="7" t="s">
        <v>121</v>
      </c>
      <c r="D12" s="4" t="s">
        <v>100</v>
      </c>
      <c r="E12" s="4" t="s">
        <v>69</v>
      </c>
      <c r="F12" s="4">
        <f>+VLOOKUP(E12,scoring!$U$10:$AA$105,3,FALSE)-72</f>
        <v>3</v>
      </c>
      <c r="G12" s="4" t="s">
        <v>47</v>
      </c>
      <c r="H12" s="4">
        <f>+VLOOKUP(G12,scoring!$U$10:$AA$105,3,FALSE)-72</f>
        <v>-3</v>
      </c>
      <c r="I12" s="4" t="s">
        <v>20</v>
      </c>
      <c r="J12" s="4">
        <f>+VLOOKUP(I12,scoring!$U$10:$AA$105,3,FALSE)-72</f>
        <v>2</v>
      </c>
      <c r="K12" s="4" t="s">
        <v>74</v>
      </c>
      <c r="L12" s="4">
        <f>+VLOOKUP(K12,scoring!$U$10:$AA$105,3,FALSE)-72</f>
        <v>1</v>
      </c>
      <c r="M12" s="4" t="s">
        <v>29</v>
      </c>
      <c r="N12" s="4">
        <f>+VLOOKUP(M12,scoring!$U$10:$AA$105,3,FALSE)-72</f>
        <v>-1</v>
      </c>
      <c r="O12" s="4" t="s">
        <v>51</v>
      </c>
      <c r="P12" s="4">
        <f>+VLOOKUP(O12,scoring!$U$10:$AA$105,3,FALSE)-72</f>
        <v>-7</v>
      </c>
      <c r="Q12" s="4" t="s">
        <v>172</v>
      </c>
      <c r="R12" s="4">
        <f>+VLOOKUP(Q12,scoring!$U$10:$AA$105,3,FALSE)-72</f>
        <v>4</v>
      </c>
      <c r="S12" s="4" t="s">
        <v>173</v>
      </c>
      <c r="T12" s="4">
        <f>+VLOOKUP(S12,scoring!$U$10:$AA$105,3,FALSE)-72</f>
        <v>-2</v>
      </c>
      <c r="U12" s="4">
        <f t="shared" si="0"/>
        <v>-12</v>
      </c>
    </row>
    <row r="13" spans="1:21" ht="16" x14ac:dyDescent="0.2">
      <c r="A13" s="5">
        <v>12</v>
      </c>
      <c r="B13" s="6" t="s">
        <v>122</v>
      </c>
      <c r="C13" s="6" t="s">
        <v>123</v>
      </c>
      <c r="D13" s="6" t="s">
        <v>87</v>
      </c>
      <c r="E13" s="6" t="s">
        <v>15</v>
      </c>
      <c r="F13" s="6">
        <f>+VLOOKUP(E13,scoring!$U$10:$AA$105,3,FALSE)-72</f>
        <v>-4</v>
      </c>
      <c r="G13" s="6" t="s">
        <v>34</v>
      </c>
      <c r="H13" s="6">
        <f>+VLOOKUP(G13,scoring!$U$10:$AA$105,3,FALSE)-72</f>
        <v>0</v>
      </c>
      <c r="I13" s="6" t="s">
        <v>32</v>
      </c>
      <c r="J13" s="6">
        <f>+VLOOKUP(I13,scoring!$U$10:$AA$105,3,FALSE)-72</f>
        <v>-1</v>
      </c>
      <c r="K13" s="6" t="s">
        <v>47</v>
      </c>
      <c r="L13" s="6">
        <f>+VLOOKUP(K13,scoring!$U$10:$AA$105,3,FALSE)-72</f>
        <v>-3</v>
      </c>
      <c r="M13" s="6" t="s">
        <v>22</v>
      </c>
      <c r="N13" s="6">
        <f>+VLOOKUP(M13,scoring!$U$10:$AA$105,3,FALSE)-72</f>
        <v>3</v>
      </c>
      <c r="O13" s="6" t="s">
        <v>76</v>
      </c>
      <c r="P13" s="6">
        <f>+VLOOKUP(O13,scoring!$U$10:$AA$105,3,FALSE)-72</f>
        <v>18</v>
      </c>
      <c r="Q13" s="6" t="s">
        <v>26</v>
      </c>
      <c r="R13" s="6">
        <f>+VLOOKUP(Q13,scoring!$U$10:$AA$105,3,FALSE)-72</f>
        <v>19</v>
      </c>
      <c r="S13" s="6" t="s">
        <v>26</v>
      </c>
      <c r="T13" s="6">
        <f>+VLOOKUP(S13,scoring!$U$10:$AA$105,3,FALSE)-72</f>
        <v>19</v>
      </c>
      <c r="U13" s="6">
        <f t="shared" si="0"/>
        <v>-8</v>
      </c>
    </row>
    <row r="14" spans="1:21" ht="16" x14ac:dyDescent="0.2">
      <c r="A14" s="3">
        <v>13</v>
      </c>
      <c r="B14" s="4" t="s">
        <v>124</v>
      </c>
      <c r="C14" s="4" t="s">
        <v>12</v>
      </c>
      <c r="D14" s="4" t="s">
        <v>13</v>
      </c>
      <c r="E14" s="4" t="s">
        <v>14</v>
      </c>
      <c r="F14" s="4">
        <f>+VLOOKUP(E14,scoring!$U$10:$AA$105,3,FALSE)-72</f>
        <v>0</v>
      </c>
      <c r="G14" s="4" t="s">
        <v>14</v>
      </c>
      <c r="H14" s="4">
        <f>+VLOOKUP(G14,scoring!$U$10:$AA$105,3,FALSE)-72</f>
        <v>0</v>
      </c>
      <c r="I14" s="4" t="s">
        <v>14</v>
      </c>
      <c r="J14" s="4">
        <f>+VLOOKUP(I14,scoring!$U$10:$AA$105,3,FALSE)-72</f>
        <v>0</v>
      </c>
      <c r="K14" s="4" t="s">
        <v>42</v>
      </c>
      <c r="L14" s="4">
        <f>+VLOOKUP(K14,scoring!$U$10:$AA$105,3,FALSE)-72</f>
        <v>-2</v>
      </c>
      <c r="M14" s="4" t="s">
        <v>42</v>
      </c>
      <c r="N14" s="4">
        <f>+VLOOKUP(M14,scoring!$U$10:$AA$105,3,FALSE)-72</f>
        <v>-2</v>
      </c>
      <c r="O14" s="4" t="s">
        <v>42</v>
      </c>
      <c r="P14" s="4">
        <f>+VLOOKUP(O14,scoring!$U$10:$AA$105,3,FALSE)-72</f>
        <v>-2</v>
      </c>
      <c r="Q14" s="4" t="s">
        <v>34</v>
      </c>
      <c r="R14" s="4">
        <f>+VLOOKUP(Q14,scoring!$U$10:$AA$105,3,FALSE)-72</f>
        <v>0</v>
      </c>
      <c r="S14" s="4" t="s">
        <v>26</v>
      </c>
      <c r="T14" s="4">
        <f>+VLOOKUP(S14,scoring!$U$10:$AA$105,3,FALSE)-72</f>
        <v>19</v>
      </c>
      <c r="U14" s="4">
        <f t="shared" si="0"/>
        <v>-6</v>
      </c>
    </row>
    <row r="15" spans="1:21" ht="16" x14ac:dyDescent="0.2">
      <c r="A15" s="5">
        <v>14</v>
      </c>
      <c r="B15" s="6" t="s">
        <v>125</v>
      </c>
      <c r="C15" s="6" t="s">
        <v>39</v>
      </c>
      <c r="D15" s="6" t="s">
        <v>40</v>
      </c>
      <c r="E15" s="6" t="s">
        <v>15</v>
      </c>
      <c r="F15" s="6">
        <f>+VLOOKUP(E15,scoring!$U$10:$AA$105,3,FALSE)-72</f>
        <v>-4</v>
      </c>
      <c r="G15" s="6" t="s">
        <v>41</v>
      </c>
      <c r="H15" s="6">
        <f>+VLOOKUP(G15,scoring!$U$10:$AA$105,3,FALSE)-72</f>
        <v>7</v>
      </c>
      <c r="I15" s="6" t="s">
        <v>41</v>
      </c>
      <c r="J15" s="6">
        <f>+VLOOKUP(I15,scoring!$U$10:$AA$105,3,FALSE)-72</f>
        <v>7</v>
      </c>
      <c r="K15" s="6" t="s">
        <v>41</v>
      </c>
      <c r="L15" s="6">
        <f>+VLOOKUP(K15,scoring!$U$10:$AA$105,3,FALSE)-72</f>
        <v>7</v>
      </c>
      <c r="M15" s="6" t="s">
        <v>23</v>
      </c>
      <c r="N15" s="6">
        <f>+VLOOKUP(M15,scoring!$U$10:$AA$105,3,FALSE)-72</f>
        <v>-1</v>
      </c>
      <c r="O15" s="6" t="s">
        <v>23</v>
      </c>
      <c r="P15" s="6">
        <f>+VLOOKUP(O15,scoring!$U$10:$AA$105,3,FALSE)-72</f>
        <v>-1</v>
      </c>
      <c r="Q15" s="6" t="s">
        <v>23</v>
      </c>
      <c r="R15" s="6">
        <f>+VLOOKUP(Q15,scoring!$U$10:$AA$105,3,FALSE)-72</f>
        <v>-1</v>
      </c>
      <c r="S15" s="6" t="s">
        <v>20</v>
      </c>
      <c r="T15" s="6">
        <f>+VLOOKUP(S15,scoring!$U$10:$AA$105,3,FALSE)-72</f>
        <v>2</v>
      </c>
      <c r="U15" s="6">
        <f t="shared" si="0"/>
        <v>-6</v>
      </c>
    </row>
    <row r="16" spans="1:21" ht="16" x14ac:dyDescent="0.2">
      <c r="A16" s="3">
        <v>15</v>
      </c>
      <c r="B16" s="4" t="s">
        <v>126</v>
      </c>
      <c r="C16" s="4" t="s">
        <v>62</v>
      </c>
      <c r="D16" s="4" t="s">
        <v>63</v>
      </c>
      <c r="E16" s="4" t="s">
        <v>15</v>
      </c>
      <c r="F16" s="4">
        <f>+VLOOKUP(E16,scoring!$U$10:$AA$105,3,FALSE)-72</f>
        <v>-4</v>
      </c>
      <c r="G16" s="4" t="s">
        <v>15</v>
      </c>
      <c r="H16" s="4">
        <f>+VLOOKUP(G16,scoring!$U$10:$AA$105,3,FALSE)-72</f>
        <v>-4</v>
      </c>
      <c r="I16" s="4" t="s">
        <v>41</v>
      </c>
      <c r="J16" s="4">
        <f>+VLOOKUP(I16,scoring!$U$10:$AA$105,3,FALSE)-72</f>
        <v>7</v>
      </c>
      <c r="K16" s="4" t="s">
        <v>41</v>
      </c>
      <c r="L16" s="4">
        <f>+VLOOKUP(K16,scoring!$U$10:$AA$105,3,FALSE)-72</f>
        <v>7</v>
      </c>
      <c r="M16" s="4" t="s">
        <v>32</v>
      </c>
      <c r="N16" s="4">
        <f>+VLOOKUP(M16,scoring!$U$10:$AA$105,3,FALSE)-72</f>
        <v>-1</v>
      </c>
      <c r="O16" s="4" t="s">
        <v>29</v>
      </c>
      <c r="P16" s="4">
        <f>+VLOOKUP(O16,scoring!$U$10:$AA$105,3,FALSE)-72</f>
        <v>-1</v>
      </c>
      <c r="Q16" s="4" t="s">
        <v>171</v>
      </c>
      <c r="R16" s="4">
        <f>+VLOOKUP(Q16,scoring!$U$10:$AA$105,3,FALSE)-72</f>
        <v>6</v>
      </c>
      <c r="S16" s="4" t="s">
        <v>171</v>
      </c>
      <c r="T16" s="4">
        <f>+VLOOKUP(S16,scoring!$U$10:$AA$105,3,FALSE)-72</f>
        <v>6</v>
      </c>
      <c r="U16" s="4">
        <f t="shared" si="0"/>
        <v>-9</v>
      </c>
    </row>
    <row r="17" spans="1:21" ht="16" x14ac:dyDescent="0.2">
      <c r="A17" s="5">
        <v>16</v>
      </c>
      <c r="B17" s="6" t="s">
        <v>127</v>
      </c>
      <c r="C17" s="6" t="s">
        <v>80</v>
      </c>
      <c r="D17" s="6" t="s">
        <v>81</v>
      </c>
      <c r="E17" s="6" t="s">
        <v>34</v>
      </c>
      <c r="F17" s="6">
        <f>+VLOOKUP(E17,scoring!$U$10:$AA$105,3,FALSE)-72</f>
        <v>0</v>
      </c>
      <c r="G17" s="6" t="s">
        <v>34</v>
      </c>
      <c r="H17" s="6">
        <f>+VLOOKUP(G17,scoring!$U$10:$AA$105,3,FALSE)-72</f>
        <v>0</v>
      </c>
      <c r="I17" s="6" t="s">
        <v>34</v>
      </c>
      <c r="J17" s="6">
        <f>+VLOOKUP(I17,scoring!$U$10:$AA$105,3,FALSE)-72</f>
        <v>0</v>
      </c>
      <c r="K17" s="6" t="s">
        <v>54</v>
      </c>
      <c r="L17" s="6">
        <f>+VLOOKUP(K17,scoring!$U$10:$AA$105,3,FALSE)-72</f>
        <v>-1</v>
      </c>
      <c r="M17" s="6" t="s">
        <v>25</v>
      </c>
      <c r="N17" s="6">
        <f>+VLOOKUP(M17,scoring!$U$10:$AA$105,3,FALSE)-72</f>
        <v>2</v>
      </c>
      <c r="O17" s="6" t="s">
        <v>26</v>
      </c>
      <c r="P17" s="6">
        <f>+VLOOKUP(O17,scoring!$U$10:$AA$105,3,FALSE)-72</f>
        <v>19</v>
      </c>
      <c r="Q17" s="6" t="s">
        <v>26</v>
      </c>
      <c r="R17" s="6">
        <f>+VLOOKUP(Q17,scoring!$U$10:$AA$105,3,FALSE)-72</f>
        <v>19</v>
      </c>
      <c r="S17" s="6" t="s">
        <v>26</v>
      </c>
      <c r="T17" s="6">
        <f>+VLOOKUP(S17,scoring!$U$10:$AA$105,3,FALSE)-72</f>
        <v>19</v>
      </c>
      <c r="U17" s="6">
        <f t="shared" si="0"/>
        <v>-1</v>
      </c>
    </row>
    <row r="18" spans="1:21" ht="16" x14ac:dyDescent="0.2">
      <c r="A18" s="3">
        <v>17</v>
      </c>
      <c r="B18" s="4" t="s">
        <v>128</v>
      </c>
      <c r="C18" s="4" t="s">
        <v>129</v>
      </c>
      <c r="D18" s="4" t="s">
        <v>130</v>
      </c>
      <c r="E18" s="4" t="s">
        <v>15</v>
      </c>
      <c r="F18" s="4">
        <f>+VLOOKUP(E18,scoring!$U$10:$AA$105,3,FALSE)-72</f>
        <v>-4</v>
      </c>
      <c r="G18" s="4" t="s">
        <v>54</v>
      </c>
      <c r="H18" s="4">
        <f>+VLOOKUP(G18,scoring!$U$10:$AA$105,3,FALSE)-72</f>
        <v>-1</v>
      </c>
      <c r="I18" s="4" t="s">
        <v>26</v>
      </c>
      <c r="J18" s="4">
        <f>+VLOOKUP(I18,scoring!$U$10:$AA$105,3,FALSE)-72</f>
        <v>19</v>
      </c>
      <c r="K18" s="4" t="s">
        <v>41</v>
      </c>
      <c r="L18" s="4">
        <f>+VLOOKUP(K18,scoring!$U$10:$AA$105,3,FALSE)-72</f>
        <v>7</v>
      </c>
      <c r="M18" s="4" t="s">
        <v>34</v>
      </c>
      <c r="N18" s="4">
        <f>+VLOOKUP(M18,scoring!$U$10:$AA$105,3,FALSE)-72</f>
        <v>0</v>
      </c>
      <c r="O18" s="4" t="s">
        <v>37</v>
      </c>
      <c r="P18" s="4">
        <f>+VLOOKUP(O18,scoring!$U$10:$AA$105,3,FALSE)-72</f>
        <v>1</v>
      </c>
      <c r="Q18" s="4" t="s">
        <v>167</v>
      </c>
      <c r="R18" s="4">
        <f>+VLOOKUP(Q18,scoring!$U$10:$AA$105,3,FALSE)-72</f>
        <v>2</v>
      </c>
      <c r="S18" s="4" t="s">
        <v>26</v>
      </c>
      <c r="T18" s="4">
        <f>+VLOOKUP(S18,scoring!$U$10:$AA$105,3,FALSE)-72</f>
        <v>19</v>
      </c>
      <c r="U18" s="4">
        <f t="shared" si="0"/>
        <v>-5</v>
      </c>
    </row>
    <row r="19" spans="1:21" ht="16" x14ac:dyDescent="0.2">
      <c r="A19" s="5">
        <v>18</v>
      </c>
      <c r="B19" s="6" t="s">
        <v>131</v>
      </c>
      <c r="C19" s="6" t="s">
        <v>45</v>
      </c>
      <c r="D19" s="6" t="s">
        <v>46</v>
      </c>
      <c r="E19" s="6" t="s">
        <v>34</v>
      </c>
      <c r="F19" s="6">
        <f>+VLOOKUP(E19,scoring!$U$10:$AA$105,3,FALSE)-72</f>
        <v>0</v>
      </c>
      <c r="G19" s="6" t="s">
        <v>47</v>
      </c>
      <c r="H19" s="6">
        <f>+VLOOKUP(G19,scoring!$U$10:$AA$105,3,FALSE)-72</f>
        <v>-3</v>
      </c>
      <c r="I19" s="6" t="s">
        <v>27</v>
      </c>
      <c r="J19" s="6">
        <f>+VLOOKUP(I19,scoring!$U$10:$AA$105,3,FALSE)-72</f>
        <v>1</v>
      </c>
      <c r="K19" s="6" t="s">
        <v>54</v>
      </c>
      <c r="L19" s="6">
        <f>+VLOOKUP(K19,scoring!$U$10:$AA$105,3,FALSE)-72</f>
        <v>-1</v>
      </c>
      <c r="M19" s="6" t="s">
        <v>21</v>
      </c>
      <c r="N19" s="6">
        <f>+VLOOKUP(M19,scoring!$U$10:$AA$105,3,FALSE)-72</f>
        <v>2</v>
      </c>
      <c r="O19" s="6" t="s">
        <v>31</v>
      </c>
      <c r="P19" s="6">
        <f>+VLOOKUP(O19,scoring!$U$10:$AA$105,3,FALSE)-72</f>
        <v>1</v>
      </c>
      <c r="Q19" s="6" t="s">
        <v>26</v>
      </c>
      <c r="R19" s="6">
        <f>+VLOOKUP(Q19,scoring!$U$10:$AA$105,3,FALSE)-72</f>
        <v>19</v>
      </c>
      <c r="S19" s="6" t="s">
        <v>26</v>
      </c>
      <c r="T19" s="6">
        <f>+VLOOKUP(S19,scoring!$U$10:$AA$105,3,FALSE)-72</f>
        <v>19</v>
      </c>
      <c r="U19" s="6">
        <f t="shared" si="0"/>
        <v>-4</v>
      </c>
    </row>
    <row r="20" spans="1:21" ht="16" x14ac:dyDescent="0.2">
      <c r="A20" s="3">
        <v>19</v>
      </c>
      <c r="B20" s="4" t="s">
        <v>133</v>
      </c>
      <c r="C20" s="4" t="s">
        <v>134</v>
      </c>
      <c r="D20" s="4" t="s">
        <v>135</v>
      </c>
      <c r="E20" s="4" t="s">
        <v>43</v>
      </c>
      <c r="F20" s="4">
        <f>+VLOOKUP(E20,scoring!$U$10:$AA$105,3,FALSE)-72</f>
        <v>0</v>
      </c>
      <c r="G20" s="4" t="s">
        <v>75</v>
      </c>
      <c r="H20" s="4">
        <f>+VLOOKUP(G20,scoring!$U$10:$AA$105,3,FALSE)-72</f>
        <v>-1</v>
      </c>
      <c r="I20" s="4" t="s">
        <v>75</v>
      </c>
      <c r="J20" s="4">
        <f>+VLOOKUP(I20,scoring!$U$10:$AA$105,3,FALSE)-72</f>
        <v>-1</v>
      </c>
      <c r="K20" s="4" t="s">
        <v>42</v>
      </c>
      <c r="L20" s="4">
        <f>+VLOOKUP(K20,scoring!$U$10:$AA$105,3,FALSE)-72</f>
        <v>-2</v>
      </c>
      <c r="M20" s="4" t="s">
        <v>42</v>
      </c>
      <c r="N20" s="4">
        <f>+VLOOKUP(M20,scoring!$U$10:$AA$105,3,FALSE)-72</f>
        <v>-2</v>
      </c>
      <c r="O20" s="4" t="s">
        <v>51</v>
      </c>
      <c r="P20" s="4">
        <f>+VLOOKUP(O20,scoring!$U$10:$AA$105,3,FALSE)-72</f>
        <v>-7</v>
      </c>
      <c r="Q20" s="4" t="s">
        <v>26</v>
      </c>
      <c r="R20" s="4">
        <f>+VLOOKUP(Q20,scoring!$U$10:$AA$105,3,FALSE)-72</f>
        <v>19</v>
      </c>
      <c r="S20" s="4" t="s">
        <v>26</v>
      </c>
      <c r="T20" s="4">
        <f>+VLOOKUP(S20,scoring!$U$10:$AA$105,3,FALSE)-72</f>
        <v>19</v>
      </c>
      <c r="U20" s="4">
        <f t="shared" si="0"/>
        <v>-11</v>
      </c>
    </row>
    <row r="21" spans="1:21" ht="16" x14ac:dyDescent="0.2">
      <c r="A21" s="5">
        <v>20</v>
      </c>
      <c r="B21" s="6" t="s">
        <v>132</v>
      </c>
      <c r="C21" s="6" t="s">
        <v>134</v>
      </c>
      <c r="D21" s="6" t="s">
        <v>136</v>
      </c>
      <c r="E21" s="6" t="s">
        <v>34</v>
      </c>
      <c r="F21" s="6">
        <f>+VLOOKUP(E21,scoring!$U$10:$AA$105,3,FALSE)-72</f>
        <v>0</v>
      </c>
      <c r="G21" s="6" t="s">
        <v>34</v>
      </c>
      <c r="H21" s="6">
        <f>+VLOOKUP(G21,scoring!$U$10:$AA$105,3,FALSE)-72</f>
        <v>0</v>
      </c>
      <c r="I21" s="6" t="s">
        <v>34</v>
      </c>
      <c r="J21" s="6">
        <f>+VLOOKUP(I21,scoring!$U$10:$AA$105,3,FALSE)-72</f>
        <v>0</v>
      </c>
      <c r="K21" s="6" t="s">
        <v>54</v>
      </c>
      <c r="L21" s="6">
        <f>+VLOOKUP(K21,scoring!$U$10:$AA$105,3,FALSE)-72</f>
        <v>-1</v>
      </c>
      <c r="M21" s="6" t="s">
        <v>25</v>
      </c>
      <c r="N21" s="6">
        <f>+VLOOKUP(M21,scoring!$U$10:$AA$105,3,FALSE)-72</f>
        <v>2</v>
      </c>
      <c r="O21" s="6" t="s">
        <v>26</v>
      </c>
      <c r="P21" s="6">
        <f>+VLOOKUP(O21,scoring!$U$10:$AA$105,3,FALSE)-72</f>
        <v>19</v>
      </c>
      <c r="Q21" s="6" t="s">
        <v>26</v>
      </c>
      <c r="R21" s="6">
        <f>+VLOOKUP(Q21,scoring!$U$10:$AA$105,3,FALSE)-72</f>
        <v>19</v>
      </c>
      <c r="S21" s="6" t="s">
        <v>26</v>
      </c>
      <c r="T21" s="6">
        <f>+VLOOKUP(S21,scoring!$U$10:$AA$105,3,FALSE)-72</f>
        <v>19</v>
      </c>
      <c r="U21" s="6">
        <f t="shared" si="0"/>
        <v>-1</v>
      </c>
    </row>
    <row r="22" spans="1:21" ht="16" x14ac:dyDescent="0.2">
      <c r="A22" s="3">
        <v>21</v>
      </c>
      <c r="B22" s="4" t="s">
        <v>137</v>
      </c>
      <c r="C22" s="4" t="s">
        <v>35</v>
      </c>
      <c r="D22" s="4" t="s">
        <v>36</v>
      </c>
      <c r="E22" s="4" t="s">
        <v>15</v>
      </c>
      <c r="F22" s="4">
        <f>+VLOOKUP(E22,scoring!$U$10:$AA$105,3,FALSE)-72</f>
        <v>-4</v>
      </c>
      <c r="G22" s="4" t="s">
        <v>34</v>
      </c>
      <c r="H22" s="4">
        <f>+VLOOKUP(G22,scoring!$U$10:$AA$105,3,FALSE)-72</f>
        <v>0</v>
      </c>
      <c r="I22" s="4" t="s">
        <v>54</v>
      </c>
      <c r="J22" s="4">
        <f>+VLOOKUP(I22,scoring!$U$10:$AA$105,3,FALSE)-72</f>
        <v>-1</v>
      </c>
      <c r="K22" s="4" t="s">
        <v>75</v>
      </c>
      <c r="L22" s="4">
        <f>+VLOOKUP(K22,scoring!$U$10:$AA$105,3,FALSE)-72</f>
        <v>-1</v>
      </c>
      <c r="M22" s="4" t="s">
        <v>23</v>
      </c>
      <c r="N22" s="4">
        <f>+VLOOKUP(M22,scoring!$U$10:$AA$105,3,FALSE)-72</f>
        <v>-1</v>
      </c>
      <c r="O22" s="4" t="s">
        <v>51</v>
      </c>
      <c r="P22" s="4">
        <f>+VLOOKUP(O22,scoring!$U$10:$AA$105,3,FALSE)-72</f>
        <v>-7</v>
      </c>
      <c r="Q22" s="4" t="s">
        <v>64</v>
      </c>
      <c r="R22" s="4">
        <f>+VLOOKUP(Q22,scoring!$U$10:$AA$105,3,FALSE)-72</f>
        <v>3</v>
      </c>
      <c r="S22" s="4" t="s">
        <v>64</v>
      </c>
      <c r="T22" s="4">
        <f>+VLOOKUP(S22,scoring!$U$10:$AA$105,3,FALSE)-72</f>
        <v>3</v>
      </c>
      <c r="U22" s="4">
        <f t="shared" si="0"/>
        <v>-12</v>
      </c>
    </row>
    <row r="23" spans="1:21" ht="16" x14ac:dyDescent="0.2">
      <c r="A23" s="5">
        <v>22</v>
      </c>
      <c r="B23" s="6" t="s">
        <v>138</v>
      </c>
      <c r="C23" s="6" t="s">
        <v>98</v>
      </c>
      <c r="D23" s="6" t="s">
        <v>99</v>
      </c>
      <c r="E23" s="6" t="s">
        <v>34</v>
      </c>
      <c r="F23" s="6">
        <f>+VLOOKUP(E23,scoring!$U$10:$AA$105,3,FALSE)-72</f>
        <v>0</v>
      </c>
      <c r="G23" s="6" t="s">
        <v>37</v>
      </c>
      <c r="H23" s="6">
        <f>+VLOOKUP(G23,scoring!$U$10:$AA$105,3,FALSE)-72</f>
        <v>1</v>
      </c>
      <c r="I23" s="6" t="s">
        <v>54</v>
      </c>
      <c r="J23" s="6">
        <f>+VLOOKUP(I23,scoring!$U$10:$AA$105,3,FALSE)-72</f>
        <v>-1</v>
      </c>
      <c r="K23" s="6" t="s">
        <v>44</v>
      </c>
      <c r="L23" s="6">
        <f>+VLOOKUP(K23,scoring!$U$10:$AA$105,3,FALSE)-72</f>
        <v>2</v>
      </c>
      <c r="M23" s="6" t="s">
        <v>75</v>
      </c>
      <c r="N23" s="6">
        <f>+VLOOKUP(M23,scoring!$U$10:$AA$105,3,FALSE)-72</f>
        <v>-1</v>
      </c>
      <c r="O23" s="6" t="s">
        <v>38</v>
      </c>
      <c r="P23" s="6">
        <f>+VLOOKUP(O23,scoring!$U$10:$AA$105,3,FALSE)-72</f>
        <v>-4</v>
      </c>
      <c r="Q23" s="6" t="s">
        <v>22</v>
      </c>
      <c r="R23" s="6">
        <f>+VLOOKUP(Q23,scoring!$U$10:$AA$105,3,FALSE)-72</f>
        <v>3</v>
      </c>
      <c r="S23" s="6" t="s">
        <v>50</v>
      </c>
      <c r="T23" s="6">
        <f>+VLOOKUP(S23,scoring!$U$10:$AA$105,3,FALSE)-72</f>
        <v>-2</v>
      </c>
      <c r="U23" s="6">
        <f t="shared" si="0"/>
        <v>-7</v>
      </c>
    </row>
    <row r="24" spans="1:21" ht="16" x14ac:dyDescent="0.2">
      <c r="A24" s="3">
        <v>23</v>
      </c>
      <c r="B24" s="4" t="s">
        <v>139</v>
      </c>
      <c r="C24" s="4" t="s">
        <v>141</v>
      </c>
      <c r="D24" s="4" t="s">
        <v>142</v>
      </c>
      <c r="E24" s="4" t="s">
        <v>15</v>
      </c>
      <c r="F24" s="4">
        <f>+VLOOKUP(E24,scoring!$U$10:$AA$105,3,FALSE)-72</f>
        <v>-4</v>
      </c>
      <c r="G24" s="4" t="s">
        <v>15</v>
      </c>
      <c r="H24" s="4">
        <f>+VLOOKUP(G24,scoring!$U$10:$AA$105,3,FALSE)-72</f>
        <v>-4</v>
      </c>
      <c r="I24" s="4" t="s">
        <v>15</v>
      </c>
      <c r="J24" s="4">
        <f>+VLOOKUP(I24,scoring!$U$10:$AA$105,3,FALSE)-72</f>
        <v>-4</v>
      </c>
      <c r="K24" s="4" t="s">
        <v>23</v>
      </c>
      <c r="L24" s="4">
        <f>+VLOOKUP(K24,scoring!$U$10:$AA$105,3,FALSE)-72</f>
        <v>-1</v>
      </c>
      <c r="M24" s="4" t="s">
        <v>38</v>
      </c>
      <c r="N24" s="4">
        <f>+VLOOKUP(M24,scoring!$U$10:$AA$105,3,FALSE)-72</f>
        <v>-4</v>
      </c>
      <c r="O24" s="4" t="s">
        <v>26</v>
      </c>
      <c r="P24" s="4">
        <f>+VLOOKUP(O24,scoring!$U$10:$AA$105,3,FALSE)-72</f>
        <v>19</v>
      </c>
      <c r="Q24" s="4" t="s">
        <v>26</v>
      </c>
      <c r="R24" s="4">
        <f>+VLOOKUP(Q24,scoring!$U$10:$AA$105,3,FALSE)-72</f>
        <v>19</v>
      </c>
      <c r="S24" s="4" t="s">
        <v>26</v>
      </c>
      <c r="T24" s="4">
        <f>+VLOOKUP(S24,scoring!$U$10:$AA$105,3,FALSE)-72</f>
        <v>19</v>
      </c>
      <c r="U24" s="4">
        <f t="shared" si="0"/>
        <v>-12</v>
      </c>
    </row>
    <row r="25" spans="1:21" ht="16" x14ac:dyDescent="0.2">
      <c r="A25" s="5">
        <v>24</v>
      </c>
      <c r="B25" s="6" t="s">
        <v>140</v>
      </c>
      <c r="C25" s="6" t="s">
        <v>141</v>
      </c>
      <c r="D25" s="6" t="s">
        <v>143</v>
      </c>
      <c r="E25" s="6" t="s">
        <v>43</v>
      </c>
      <c r="F25" s="6">
        <f>+VLOOKUP(E25,scoring!$U$10:$AA$105,3,FALSE)-72</f>
        <v>0</v>
      </c>
      <c r="G25" s="6" t="s">
        <v>14</v>
      </c>
      <c r="H25" s="6">
        <f>+VLOOKUP(G25,scoring!$U$10:$AA$105,3,FALSE)-72</f>
        <v>0</v>
      </c>
      <c r="I25" s="6" t="s">
        <v>20</v>
      </c>
      <c r="J25" s="6">
        <f>+VLOOKUP(I25,scoring!$U$10:$AA$105,3,FALSE)-72</f>
        <v>2</v>
      </c>
      <c r="K25" s="6" t="s">
        <v>61</v>
      </c>
      <c r="L25" s="6">
        <f>+VLOOKUP(K25,scoring!$U$10:$AA$105,3,FALSE)-72</f>
        <v>5</v>
      </c>
      <c r="M25" s="6" t="s">
        <v>26</v>
      </c>
      <c r="N25" s="6">
        <f>+VLOOKUP(M25,scoring!$U$10:$AA$105,3,FALSE)-72</f>
        <v>19</v>
      </c>
      <c r="O25" s="6" t="s">
        <v>26</v>
      </c>
      <c r="P25" s="6">
        <f>+VLOOKUP(O25,scoring!$U$10:$AA$105,3,FALSE)-72</f>
        <v>19</v>
      </c>
      <c r="Q25" s="6" t="s">
        <v>26</v>
      </c>
      <c r="R25" s="6">
        <f>+VLOOKUP(Q25,scoring!$U$10:$AA$105,3,FALSE)-72</f>
        <v>19</v>
      </c>
      <c r="S25" s="6" t="s">
        <v>26</v>
      </c>
      <c r="T25" s="6">
        <f>+VLOOKUP(S25,scoring!$U$10:$AA$105,3,FALSE)-72</f>
        <v>19</v>
      </c>
      <c r="U25" s="6">
        <f t="shared" si="0"/>
        <v>2</v>
      </c>
    </row>
    <row r="26" spans="1:21" ht="16" x14ac:dyDescent="0.2">
      <c r="A26" s="3">
        <v>25</v>
      </c>
      <c r="B26" s="4" t="s">
        <v>144</v>
      </c>
      <c r="C26" s="4" t="s">
        <v>48</v>
      </c>
      <c r="D26" s="4" t="s">
        <v>49</v>
      </c>
      <c r="E26" s="4" t="s">
        <v>27</v>
      </c>
      <c r="F26" s="4">
        <f>+VLOOKUP(E26,scoring!$U$10:$AA$105,3,FALSE)-72</f>
        <v>1</v>
      </c>
      <c r="G26" s="4" t="s">
        <v>33</v>
      </c>
      <c r="H26" s="4">
        <f>+VLOOKUP(G26,scoring!$U$10:$AA$105,3,FALSE)-72</f>
        <v>1</v>
      </c>
      <c r="I26" s="4" t="s">
        <v>41</v>
      </c>
      <c r="J26" s="4">
        <f>+VLOOKUP(I26,scoring!$U$10:$AA$105,3,FALSE)-72</f>
        <v>7</v>
      </c>
      <c r="K26" s="4" t="s">
        <v>75</v>
      </c>
      <c r="L26" s="4">
        <f>+VLOOKUP(K26,scoring!$U$10:$AA$105,3,FALSE)-72</f>
        <v>-1</v>
      </c>
      <c r="M26" s="4" t="s">
        <v>34</v>
      </c>
      <c r="N26" s="4">
        <f>+VLOOKUP(M26,scoring!$U$10:$AA$105,3,FALSE)-72</f>
        <v>0</v>
      </c>
      <c r="O26" s="4" t="s">
        <v>16</v>
      </c>
      <c r="P26" s="4">
        <f>+VLOOKUP(O26,scoring!$U$10:$AA$105,3,FALSE)-72</f>
        <v>2</v>
      </c>
      <c r="Q26" s="4" t="s">
        <v>168</v>
      </c>
      <c r="R26" s="4">
        <f>+VLOOKUP(Q26,scoring!$U$10:$AA$105,3,FALSE)-72</f>
        <v>5</v>
      </c>
      <c r="S26" s="4" t="s">
        <v>26</v>
      </c>
      <c r="T26" s="4">
        <f>+VLOOKUP(S26,scoring!$U$10:$AA$105,3,FALSE)-72</f>
        <v>19</v>
      </c>
      <c r="U26" s="4">
        <f t="shared" si="0"/>
        <v>0</v>
      </c>
    </row>
    <row r="27" spans="1:21" ht="16" x14ac:dyDescent="0.2">
      <c r="A27" s="5">
        <v>26</v>
      </c>
      <c r="B27" s="6" t="s">
        <v>145</v>
      </c>
      <c r="C27" s="6" t="s">
        <v>67</v>
      </c>
      <c r="D27" s="6" t="s">
        <v>68</v>
      </c>
      <c r="E27" s="6" t="s">
        <v>69</v>
      </c>
      <c r="F27" s="6">
        <f>+VLOOKUP(E27,scoring!$U$10:$AA$105,3,FALSE)-72</f>
        <v>3</v>
      </c>
      <c r="G27" s="6" t="s">
        <v>15</v>
      </c>
      <c r="H27" s="6">
        <f>+VLOOKUP(G27,scoring!$U$10:$AA$105,3,FALSE)-72</f>
        <v>-4</v>
      </c>
      <c r="I27" s="6" t="s">
        <v>37</v>
      </c>
      <c r="J27" s="6">
        <f>+VLOOKUP(I27,scoring!$U$10:$AA$105,3,FALSE)-72</f>
        <v>1</v>
      </c>
      <c r="K27" s="6" t="s">
        <v>20</v>
      </c>
      <c r="L27" s="6">
        <f>+VLOOKUP(K27,scoring!$U$10:$AA$105,3,FALSE)-72</f>
        <v>2</v>
      </c>
      <c r="M27" s="6" t="s">
        <v>23</v>
      </c>
      <c r="N27" s="6">
        <f>+VLOOKUP(M27,scoring!$U$10:$AA$105,3,FALSE)-72</f>
        <v>-1</v>
      </c>
      <c r="O27" s="6" t="s">
        <v>26</v>
      </c>
      <c r="P27" s="6">
        <f>+VLOOKUP(O27,scoring!$U$10:$AA$105,3,FALSE)-72</f>
        <v>19</v>
      </c>
      <c r="Q27" s="6" t="s">
        <v>26</v>
      </c>
      <c r="R27" s="6">
        <f>+VLOOKUP(Q27,scoring!$U$10:$AA$105,3,FALSE)-72</f>
        <v>19</v>
      </c>
      <c r="S27" s="6" t="s">
        <v>26</v>
      </c>
      <c r="T27" s="6">
        <f>+VLOOKUP(S27,scoring!$U$10:$AA$105,3,FALSE)-72</f>
        <v>19</v>
      </c>
      <c r="U27" s="6">
        <f t="shared" si="0"/>
        <v>-4</v>
      </c>
    </row>
    <row r="28" spans="1:21" ht="16" x14ac:dyDescent="0.2">
      <c r="A28" s="3">
        <v>27</v>
      </c>
      <c r="B28" s="4" t="s">
        <v>147</v>
      </c>
      <c r="C28" s="4" t="s">
        <v>86</v>
      </c>
      <c r="D28" s="4" t="s">
        <v>57</v>
      </c>
      <c r="E28" s="4" t="s">
        <v>55</v>
      </c>
      <c r="F28" s="4">
        <f>+VLOOKUP(E28,scoring!$U$10:$AA$105,3,FALSE)-72</f>
        <v>-1</v>
      </c>
      <c r="G28" s="4" t="s">
        <v>55</v>
      </c>
      <c r="H28" s="4">
        <f>+VLOOKUP(G28,scoring!$U$10:$AA$105,3,FALSE)-72</f>
        <v>-1</v>
      </c>
      <c r="I28" s="4" t="s">
        <v>54</v>
      </c>
      <c r="J28" s="4">
        <f>+VLOOKUP(I28,scoring!$U$10:$AA$105,3,FALSE)-72</f>
        <v>-1</v>
      </c>
      <c r="K28" s="4" t="s">
        <v>43</v>
      </c>
      <c r="L28" s="4">
        <f>+VLOOKUP(K28,scoring!$U$10:$AA$105,3,FALSE)-72</f>
        <v>0</v>
      </c>
      <c r="M28" s="4" t="s">
        <v>75</v>
      </c>
      <c r="N28" s="4">
        <f>+VLOOKUP(M28,scoring!$U$10:$AA$105,3,FALSE)-72</f>
        <v>-1</v>
      </c>
      <c r="O28" s="4" t="s">
        <v>55</v>
      </c>
      <c r="P28" s="4">
        <f>+VLOOKUP(O28,scoring!$U$10:$AA$105,3,FALSE)-72</f>
        <v>-1</v>
      </c>
      <c r="Q28" s="4" t="s">
        <v>26</v>
      </c>
      <c r="R28" s="4">
        <f>+VLOOKUP(Q28,scoring!$U$10:$AA$105,3,FALSE)-72</f>
        <v>19</v>
      </c>
      <c r="S28" s="4" t="s">
        <v>26</v>
      </c>
      <c r="T28" s="4">
        <f>+VLOOKUP(S28,scoring!$U$10:$AA$105,3,FALSE)-72</f>
        <v>19</v>
      </c>
      <c r="U28" s="4">
        <f t="shared" si="0"/>
        <v>-3</v>
      </c>
    </row>
    <row r="29" spans="1:21" ht="16" x14ac:dyDescent="0.2">
      <c r="A29" s="5">
        <v>28</v>
      </c>
      <c r="B29" s="6" t="s">
        <v>148</v>
      </c>
      <c r="C29" s="6" t="s">
        <v>82</v>
      </c>
      <c r="D29" s="6" t="s">
        <v>83</v>
      </c>
      <c r="E29" s="6" t="s">
        <v>34</v>
      </c>
      <c r="F29" s="6">
        <f>+VLOOKUP(E29,scoring!$U$10:$AA$105,3,FALSE)-72</f>
        <v>0</v>
      </c>
      <c r="G29" s="6" t="s">
        <v>34</v>
      </c>
      <c r="H29" s="6">
        <f>+VLOOKUP(G29,scoring!$U$10:$AA$105,3,FALSE)-72</f>
        <v>0</v>
      </c>
      <c r="I29" s="6" t="s">
        <v>47</v>
      </c>
      <c r="J29" s="6">
        <f>+VLOOKUP(I29,scoring!$U$10:$AA$105,3,FALSE)-72</f>
        <v>-3</v>
      </c>
      <c r="K29" s="6" t="s">
        <v>44</v>
      </c>
      <c r="L29" s="6">
        <f>+VLOOKUP(K29,scoring!$U$10:$AA$105,3,FALSE)-72</f>
        <v>2</v>
      </c>
      <c r="M29" s="6" t="s">
        <v>94</v>
      </c>
      <c r="N29" s="6">
        <f>+VLOOKUP(M29,scoring!$U$10:$AA$105,3,FALSE)-72</f>
        <v>6</v>
      </c>
      <c r="O29" s="6" t="s">
        <v>178</v>
      </c>
      <c r="P29" s="6">
        <f>+VLOOKUP(O29,scoring!$U$10:$AA$105,3,FALSE)-72</f>
        <v>6</v>
      </c>
      <c r="Q29" s="6" t="s">
        <v>26</v>
      </c>
      <c r="R29" s="6">
        <f>+VLOOKUP(Q29,scoring!$U$10:$AA$105,3,FALSE)-72</f>
        <v>19</v>
      </c>
      <c r="S29" s="6" t="s">
        <v>26</v>
      </c>
      <c r="T29" s="6">
        <f>+VLOOKUP(S29,scoring!$U$10:$AA$105,3,FALSE)-72</f>
        <v>19</v>
      </c>
      <c r="U29" s="6">
        <f t="shared" si="0"/>
        <v>-3</v>
      </c>
    </row>
    <row r="30" spans="1:21" ht="16" x14ac:dyDescent="0.2">
      <c r="A30" s="3">
        <v>29</v>
      </c>
      <c r="B30" s="4" t="s">
        <v>149</v>
      </c>
      <c r="C30" s="4" t="s">
        <v>150</v>
      </c>
      <c r="D30" s="4" t="s">
        <v>151</v>
      </c>
      <c r="E30" s="4" t="s">
        <v>47</v>
      </c>
      <c r="F30" s="4">
        <f>+VLOOKUP(E30,scoring!$U$10:$AA$105,3,FALSE)-72</f>
        <v>-3</v>
      </c>
      <c r="G30" s="4" t="s">
        <v>47</v>
      </c>
      <c r="H30" s="4">
        <f>+VLOOKUP(G30,scoring!$U$10:$AA$105,3,FALSE)-72</f>
        <v>-3</v>
      </c>
      <c r="I30" s="4" t="s">
        <v>14</v>
      </c>
      <c r="J30" s="4">
        <f>+VLOOKUP(I30,scoring!$U$10:$AA$105,3,FALSE)-72</f>
        <v>0</v>
      </c>
      <c r="K30" s="4" t="s">
        <v>14</v>
      </c>
      <c r="L30" s="4">
        <f>+VLOOKUP(K30,scoring!$U$10:$AA$105,3,FALSE)-72</f>
        <v>0</v>
      </c>
      <c r="M30" s="4" t="s">
        <v>165</v>
      </c>
      <c r="N30" s="4">
        <f>+VLOOKUP(M30,scoring!$U$10:$AA$105,3,FALSE)-72</f>
        <v>3</v>
      </c>
      <c r="O30" s="4" t="s">
        <v>165</v>
      </c>
      <c r="P30" s="4">
        <f>+VLOOKUP(O30,scoring!$U$10:$AA$105,3,FALSE)-72</f>
        <v>3</v>
      </c>
      <c r="Q30" s="4" t="s">
        <v>26</v>
      </c>
      <c r="R30" s="4">
        <f>+VLOOKUP(Q30,scoring!$U$10:$AA$105,3,FALSE)-72</f>
        <v>19</v>
      </c>
      <c r="S30" s="4" t="s">
        <v>26</v>
      </c>
      <c r="T30" s="4">
        <f>+VLOOKUP(S30,scoring!$U$10:$AA$105,3,FALSE)-72</f>
        <v>19</v>
      </c>
      <c r="U30" s="4">
        <f t="shared" si="0"/>
        <v>-6</v>
      </c>
    </row>
    <row r="31" spans="1:21" ht="16" x14ac:dyDescent="0.2">
      <c r="A31" s="5">
        <v>30</v>
      </c>
      <c r="B31" s="6" t="s">
        <v>152</v>
      </c>
      <c r="C31" s="6" t="s">
        <v>52</v>
      </c>
      <c r="D31" s="6" t="s">
        <v>53</v>
      </c>
      <c r="E31" s="6" t="s">
        <v>16</v>
      </c>
      <c r="F31" s="6">
        <f>+VLOOKUP(E31,scoring!$U$10:$AA$105,3,FALSE)-72</f>
        <v>2</v>
      </c>
      <c r="G31" s="6" t="s">
        <v>180</v>
      </c>
      <c r="H31" s="6">
        <f>+VLOOKUP(G31,scoring!$U$10:$AA$105,3,FALSE)-72</f>
        <v>0</v>
      </c>
      <c r="I31" s="6" t="s">
        <v>54</v>
      </c>
      <c r="J31" s="6">
        <f>+VLOOKUP(I31,scoring!$U$10:$AA$105,3,FALSE)-72</f>
        <v>-1</v>
      </c>
      <c r="K31" s="6" t="s">
        <v>32</v>
      </c>
      <c r="L31" s="6">
        <f>+VLOOKUP(K31,scoring!$U$10:$AA$105,3,FALSE)-72</f>
        <v>-1</v>
      </c>
      <c r="M31" s="6" t="s">
        <v>32</v>
      </c>
      <c r="N31" s="6">
        <f>+VLOOKUP(M31,scoring!$U$10:$AA$105,3,FALSE)-72</f>
        <v>-1</v>
      </c>
      <c r="O31" s="6" t="s">
        <v>94</v>
      </c>
      <c r="P31" s="6">
        <f>+VLOOKUP(O31,scoring!$U$10:$AA$105,3,FALSE)-72</f>
        <v>6</v>
      </c>
      <c r="Q31" s="6" t="s">
        <v>15</v>
      </c>
      <c r="R31" s="6">
        <f>+VLOOKUP(Q31,scoring!$U$10:$AA$105,3,FALSE)-72</f>
        <v>-4</v>
      </c>
      <c r="S31" s="6" t="s">
        <v>33</v>
      </c>
      <c r="T31" s="6">
        <f>+VLOOKUP(S31,scoring!$U$10:$AA$105,3,FALSE)-72</f>
        <v>1</v>
      </c>
      <c r="U31" s="6">
        <f t="shared" si="0"/>
        <v>-6</v>
      </c>
    </row>
    <row r="32" spans="1:21" ht="16" x14ac:dyDescent="0.2">
      <c r="A32" s="3">
        <v>31</v>
      </c>
      <c r="B32" s="4" t="s">
        <v>91</v>
      </c>
      <c r="C32" s="4" t="s">
        <v>92</v>
      </c>
      <c r="D32" s="4" t="s">
        <v>93</v>
      </c>
      <c r="E32" s="4" t="s">
        <v>34</v>
      </c>
      <c r="F32" s="4">
        <f>+VLOOKUP(E32,scoring!$U$10:$AA$105,3,FALSE)-72</f>
        <v>0</v>
      </c>
      <c r="G32" s="4" t="s">
        <v>27</v>
      </c>
      <c r="H32" s="4">
        <f>+VLOOKUP(G32,scoring!$U$10:$AA$105,3,FALSE)-72</f>
        <v>1</v>
      </c>
      <c r="I32" s="4" t="s">
        <v>20</v>
      </c>
      <c r="J32" s="4">
        <f>+VLOOKUP(I32,scoring!$U$10:$AA$105,3,FALSE)-72</f>
        <v>2</v>
      </c>
      <c r="K32" s="4" t="s">
        <v>74</v>
      </c>
      <c r="L32" s="4">
        <f>+VLOOKUP(K32,scoring!$U$10:$AA$105,3,FALSE)-72</f>
        <v>1</v>
      </c>
      <c r="M32" s="4" t="s">
        <v>37</v>
      </c>
      <c r="N32" s="4">
        <f>+VLOOKUP(M32,scoring!$U$10:$AA$105,3,FALSE)-72</f>
        <v>1</v>
      </c>
      <c r="O32" s="4" t="s">
        <v>179</v>
      </c>
      <c r="P32" s="4">
        <f>+VLOOKUP(O32,scoring!$U$10:$AA$105,3,FALSE)-72</f>
        <v>0</v>
      </c>
      <c r="Q32" s="4" t="s">
        <v>26</v>
      </c>
      <c r="R32" s="4">
        <f>+VLOOKUP(Q32,scoring!$U$10:$AA$105,3,FALSE)-72</f>
        <v>19</v>
      </c>
      <c r="S32" s="4" t="s">
        <v>26</v>
      </c>
      <c r="T32" s="4">
        <f>+VLOOKUP(S32,scoring!$U$10:$AA$105,3,FALSE)-72</f>
        <v>19</v>
      </c>
      <c r="U32" s="4">
        <f t="shared" si="0"/>
        <v>1</v>
      </c>
    </row>
    <row r="33" spans="1:21" ht="16" x14ac:dyDescent="0.2">
      <c r="A33" s="5">
        <v>32</v>
      </c>
      <c r="B33" s="6" t="s">
        <v>153</v>
      </c>
      <c r="C33" s="6" t="s">
        <v>89</v>
      </c>
      <c r="D33" s="6" t="s">
        <v>90</v>
      </c>
      <c r="E33" s="6" t="s">
        <v>34</v>
      </c>
      <c r="F33" s="6">
        <f>+VLOOKUP(E33,scoring!$U$10:$AA$105,3,FALSE)-72</f>
        <v>0</v>
      </c>
      <c r="G33" s="6" t="s">
        <v>32</v>
      </c>
      <c r="H33" s="6">
        <f>+VLOOKUP(G33,scoring!$U$10:$AA$105,3,FALSE)-72</f>
        <v>-1</v>
      </c>
      <c r="I33" s="6" t="s">
        <v>41</v>
      </c>
      <c r="J33" s="6">
        <f>+VLOOKUP(I33,scoring!$U$10:$AA$105,3,FALSE)-72</f>
        <v>7</v>
      </c>
      <c r="K33" s="6" t="s">
        <v>94</v>
      </c>
      <c r="L33" s="6">
        <f>+VLOOKUP(K33,scoring!$U$10:$AA$105,3,FALSE)-72</f>
        <v>6</v>
      </c>
      <c r="M33" s="6" t="s">
        <v>28</v>
      </c>
      <c r="N33" s="6">
        <f>+VLOOKUP(M33,scoring!$U$10:$AA$105,3,FALSE)-72</f>
        <v>0</v>
      </c>
      <c r="O33" s="6" t="s">
        <v>169</v>
      </c>
      <c r="P33" s="6">
        <f>+VLOOKUP(O33,scoring!$U$10:$AA$105,3,FALSE)-72</f>
        <v>2</v>
      </c>
      <c r="Q33" s="6" t="s">
        <v>34</v>
      </c>
      <c r="R33" s="6">
        <f>+VLOOKUP(Q33,scoring!$U$10:$AA$105,3,FALSE)-72</f>
        <v>0</v>
      </c>
      <c r="S33" s="6" t="s">
        <v>94</v>
      </c>
      <c r="T33" s="6">
        <f>+VLOOKUP(S33,scoring!$U$10:$AA$105,3,FALSE)-72</f>
        <v>6</v>
      </c>
      <c r="U33" s="6">
        <f t="shared" si="0"/>
        <v>-1</v>
      </c>
    </row>
    <row r="34" spans="1:21" ht="16" x14ac:dyDescent="0.2">
      <c r="A34" s="3">
        <v>33</v>
      </c>
      <c r="B34" s="4" t="s">
        <v>159</v>
      </c>
      <c r="C34" s="4" t="s">
        <v>154</v>
      </c>
      <c r="D34" s="4" t="s">
        <v>155</v>
      </c>
      <c r="E34" s="4" t="s">
        <v>15</v>
      </c>
      <c r="F34" s="4">
        <f>+VLOOKUP(E34,scoring!$U$10:$AA$105,3,FALSE)-72</f>
        <v>-4</v>
      </c>
      <c r="G34" s="4" t="s">
        <v>15</v>
      </c>
      <c r="H34" s="4">
        <f>+VLOOKUP(G34,scoring!$U$10:$AA$105,3,FALSE)-72</f>
        <v>-4</v>
      </c>
      <c r="I34" s="4" t="s">
        <v>51</v>
      </c>
      <c r="J34" s="4">
        <f>+VLOOKUP(I34,scoring!$U$10:$AA$105,3,FALSE)-72</f>
        <v>-7</v>
      </c>
      <c r="K34" s="4" t="s">
        <v>29</v>
      </c>
      <c r="L34" s="4">
        <f>+VLOOKUP(K34,scoring!$U$10:$AA$105,3,FALSE)-72</f>
        <v>-1</v>
      </c>
      <c r="M34" s="4" t="s">
        <v>33</v>
      </c>
      <c r="N34" s="4">
        <f>+VLOOKUP(M34,scoring!$U$10:$AA$105,3,FALSE)-72</f>
        <v>1</v>
      </c>
      <c r="O34" s="4" t="s">
        <v>167</v>
      </c>
      <c r="P34" s="4">
        <f>+VLOOKUP(O34,scoring!$U$10:$AA$105,3,FALSE)-72</f>
        <v>2</v>
      </c>
      <c r="Q34" s="4" t="s">
        <v>88</v>
      </c>
      <c r="R34" s="4">
        <f>+VLOOKUP(Q34,scoring!$U$10:$AA$105,3,FALSE)-72</f>
        <v>-1</v>
      </c>
      <c r="S34" s="4" t="s">
        <v>22</v>
      </c>
      <c r="T34" s="4">
        <f>+VLOOKUP(S34,scoring!$U$10:$AA$105,3,FALSE)-72</f>
        <v>3</v>
      </c>
      <c r="U34" s="4">
        <f t="shared" si="0"/>
        <v>-15</v>
      </c>
    </row>
    <row r="35" spans="1:21" ht="16" x14ac:dyDescent="0.2">
      <c r="A35" s="5">
        <v>34</v>
      </c>
      <c r="B35" s="6" t="s">
        <v>162</v>
      </c>
      <c r="C35" s="6" t="s">
        <v>156</v>
      </c>
      <c r="D35" s="6" t="s">
        <v>99</v>
      </c>
      <c r="E35" s="6" t="s">
        <v>69</v>
      </c>
      <c r="F35" s="6">
        <f>+VLOOKUP(E35,scoring!$U$10:$AA$105,3,FALSE)-72</f>
        <v>3</v>
      </c>
      <c r="G35" s="6" t="s">
        <v>75</v>
      </c>
      <c r="H35" s="6">
        <f>+VLOOKUP(G35,scoring!$U$10:$AA$105,3,FALSE)-72</f>
        <v>-1</v>
      </c>
      <c r="I35" s="6" t="s">
        <v>50</v>
      </c>
      <c r="J35" s="6">
        <f>+VLOOKUP(I35,scoring!$U$10:$AA$105,3,FALSE)-72</f>
        <v>-2</v>
      </c>
      <c r="K35" s="6" t="s">
        <v>27</v>
      </c>
      <c r="L35" s="6">
        <f>+VLOOKUP(K35,scoring!$U$10:$AA$105,3,FALSE)-72</f>
        <v>1</v>
      </c>
      <c r="M35" s="6" t="s">
        <v>22</v>
      </c>
      <c r="N35" s="6">
        <f>+VLOOKUP(M35,scoring!$U$10:$AA$105,3,FALSE)-72</f>
        <v>3</v>
      </c>
      <c r="O35" s="6" t="s">
        <v>32</v>
      </c>
      <c r="P35" s="6">
        <f>+VLOOKUP(O35,scoring!$U$10:$AA$105,3,FALSE)-72</f>
        <v>-1</v>
      </c>
      <c r="Q35" s="6" t="s">
        <v>28</v>
      </c>
      <c r="R35" s="6">
        <f>+VLOOKUP(Q35,scoring!$U$10:$AA$105,3,FALSE)-72</f>
        <v>0</v>
      </c>
      <c r="S35" s="6" t="s">
        <v>168</v>
      </c>
      <c r="T35" s="6">
        <f>+VLOOKUP(S35,scoring!$U$10:$AA$105,3,FALSE)-72</f>
        <v>5</v>
      </c>
      <c r="U35" s="6">
        <f t="shared" si="0"/>
        <v>-4</v>
      </c>
    </row>
    <row r="36" spans="1:21" ht="16" x14ac:dyDescent="0.2">
      <c r="A36" s="3">
        <v>35</v>
      </c>
      <c r="B36" s="4" t="s">
        <v>163</v>
      </c>
      <c r="C36" s="4" t="s">
        <v>72</v>
      </c>
      <c r="D36" s="4" t="s">
        <v>73</v>
      </c>
      <c r="E36" s="4" t="s">
        <v>14</v>
      </c>
      <c r="F36" s="4">
        <f>+VLOOKUP(E36,scoring!$U$10:$AA$105,3,FALSE)-72</f>
        <v>0</v>
      </c>
      <c r="G36" s="4" t="s">
        <v>14</v>
      </c>
      <c r="H36" s="4">
        <f>+VLOOKUP(G36,scoring!$U$10:$AA$105,3,FALSE)-72</f>
        <v>0</v>
      </c>
      <c r="I36" s="4" t="s">
        <v>34</v>
      </c>
      <c r="J36" s="4">
        <f>+VLOOKUP(I36,scoring!$U$10:$AA$105,3,FALSE)-72</f>
        <v>0</v>
      </c>
      <c r="K36" s="4" t="s">
        <v>34</v>
      </c>
      <c r="L36" s="4">
        <f>+VLOOKUP(K36,scoring!$U$10:$AA$105,3,FALSE)-72</f>
        <v>0</v>
      </c>
      <c r="M36" s="4" t="s">
        <v>75</v>
      </c>
      <c r="N36" s="4">
        <f>+VLOOKUP(M36,scoring!$U$10:$AA$105,3,FALSE)-72</f>
        <v>-1</v>
      </c>
      <c r="O36" s="4" t="s">
        <v>25</v>
      </c>
      <c r="P36" s="4">
        <f>+VLOOKUP(O36,scoring!$U$10:$AA$105,3,FALSE)-72</f>
        <v>2</v>
      </c>
      <c r="Q36" s="4" t="s">
        <v>26</v>
      </c>
      <c r="R36" s="4">
        <f>+VLOOKUP(Q36,scoring!$U$10:$AA$105,3,FALSE)-72</f>
        <v>19</v>
      </c>
      <c r="S36" s="4" t="s">
        <v>26</v>
      </c>
      <c r="T36" s="4">
        <f>+VLOOKUP(S36,scoring!$U$10:$AA$105,3,FALSE)-72</f>
        <v>19</v>
      </c>
      <c r="U36" s="4">
        <f t="shared" si="0"/>
        <v>-1</v>
      </c>
    </row>
    <row r="37" spans="1:21" ht="16" x14ac:dyDescent="0.2">
      <c r="A37" s="5">
        <v>36</v>
      </c>
      <c r="B37" s="6" t="s">
        <v>101</v>
      </c>
      <c r="C37" s="6" t="s">
        <v>102</v>
      </c>
      <c r="D37" s="6" t="s">
        <v>103</v>
      </c>
      <c r="E37" s="6" t="s">
        <v>43</v>
      </c>
      <c r="F37" s="6">
        <f>+VLOOKUP(E37,scoring!$U$10:$AA$105,3,FALSE)-72</f>
        <v>0</v>
      </c>
      <c r="G37" s="6" t="s">
        <v>15</v>
      </c>
      <c r="H37" s="6">
        <f>+VLOOKUP(G37,scoring!$U$10:$AA$105,3,FALSE)-72</f>
        <v>-4</v>
      </c>
      <c r="I37" s="6" t="s">
        <v>166</v>
      </c>
      <c r="J37" s="6">
        <f>+VLOOKUP(I37,scoring!$U$10:$AA$105,3,FALSE)-72</f>
        <v>-1</v>
      </c>
      <c r="K37" s="6" t="s">
        <v>170</v>
      </c>
      <c r="L37" s="6">
        <f>+VLOOKUP(K37,scoring!$U$10:$AA$105,3,FALSE)-72</f>
        <v>0</v>
      </c>
      <c r="M37" s="6" t="s">
        <v>26</v>
      </c>
      <c r="N37" s="6">
        <f>+VLOOKUP(M37,scoring!$U$10:$AA$105,3,FALSE)-72</f>
        <v>19</v>
      </c>
      <c r="O37" s="6" t="s">
        <v>26</v>
      </c>
      <c r="P37" s="6">
        <f>+VLOOKUP(O37,scoring!$U$10:$AA$105,3,FALSE)-72</f>
        <v>19</v>
      </c>
      <c r="Q37" s="6" t="s">
        <v>26</v>
      </c>
      <c r="R37" s="6">
        <f>+VLOOKUP(Q37,scoring!$U$10:$AA$105,3,FALSE)-72</f>
        <v>19</v>
      </c>
      <c r="S37" s="6" t="s">
        <v>26</v>
      </c>
      <c r="T37" s="6">
        <f>+VLOOKUP(S37,scoring!$U$10:$AA$105,3,FALSE)-72</f>
        <v>19</v>
      </c>
      <c r="U37" s="6">
        <f t="shared" si="0"/>
        <v>-5</v>
      </c>
    </row>
    <row r="38" spans="1:21" ht="16" x14ac:dyDescent="0.2">
      <c r="A38" s="3">
        <v>37</v>
      </c>
      <c r="B38" s="4" t="s">
        <v>160</v>
      </c>
      <c r="C38" s="4" t="s">
        <v>157</v>
      </c>
      <c r="D38" s="4" t="s">
        <v>158</v>
      </c>
      <c r="E38" s="4" t="s">
        <v>43</v>
      </c>
      <c r="F38" s="4">
        <f>+VLOOKUP(E38,scoring!$U$10:$AA$105,3,FALSE)-72</f>
        <v>0</v>
      </c>
      <c r="G38" s="4" t="s">
        <v>58</v>
      </c>
      <c r="H38" s="4">
        <f>+VLOOKUP(G38,scoring!$U$10:$AA$105,3,FALSE)-72</f>
        <v>1</v>
      </c>
      <c r="I38" s="4" t="s">
        <v>54</v>
      </c>
      <c r="J38" s="4">
        <f>+VLOOKUP(I38,scoring!$U$10:$AA$105,3,FALSE)-72</f>
        <v>-1</v>
      </c>
      <c r="K38" s="4" t="s">
        <v>22</v>
      </c>
      <c r="L38" s="4">
        <f>+VLOOKUP(K38,scoring!$U$10:$AA$105,3,FALSE)-72</f>
        <v>3</v>
      </c>
      <c r="M38" s="4" t="s">
        <v>168</v>
      </c>
      <c r="N38" s="4">
        <f>+VLOOKUP(M38,scoring!$U$10:$AA$105,3,FALSE)-72</f>
        <v>5</v>
      </c>
      <c r="O38" s="4" t="s">
        <v>26</v>
      </c>
      <c r="P38" s="4">
        <f>+VLOOKUP(O38,scoring!$U$10:$AA$105,3,FALSE)-72</f>
        <v>19</v>
      </c>
      <c r="Q38" s="4" t="s">
        <v>26</v>
      </c>
      <c r="R38" s="4">
        <f>+VLOOKUP(Q38,scoring!$U$10:$AA$105,3,FALSE)-72</f>
        <v>19</v>
      </c>
      <c r="S38" s="4" t="s">
        <v>26</v>
      </c>
      <c r="T38" s="4">
        <f>+VLOOKUP(S38,scoring!$U$10:$AA$105,3,FALSE)-72</f>
        <v>19</v>
      </c>
      <c r="U38" s="4">
        <f t="shared" si="0"/>
        <v>0</v>
      </c>
    </row>
    <row r="39" spans="1:21" ht="16" x14ac:dyDescent="0.2">
      <c r="A39" s="5">
        <v>38</v>
      </c>
      <c r="B39" s="6" t="s">
        <v>17</v>
      </c>
      <c r="C39" s="6" t="s">
        <v>18</v>
      </c>
      <c r="D39" s="6" t="s">
        <v>19</v>
      </c>
      <c r="E39" s="6" t="s">
        <v>15</v>
      </c>
      <c r="F39" s="6">
        <f>+VLOOKUP(E39,scoring!$U$10:$AA$105,3,FALSE)-72</f>
        <v>-4</v>
      </c>
      <c r="G39" s="6" t="s">
        <v>15</v>
      </c>
      <c r="H39" s="6">
        <f>+VLOOKUP(G39,scoring!$U$10:$AA$105,3,FALSE)-72</f>
        <v>-4</v>
      </c>
      <c r="I39" s="6" t="s">
        <v>47</v>
      </c>
      <c r="J39" s="6">
        <f>+VLOOKUP(I39,scoring!$U$10:$AA$105,3,FALSE)-72</f>
        <v>-3</v>
      </c>
      <c r="K39" s="6" t="s">
        <v>75</v>
      </c>
      <c r="L39" s="6">
        <f>+VLOOKUP(K39,scoring!$U$10:$AA$105,3,FALSE)-72</f>
        <v>-1</v>
      </c>
      <c r="M39" s="6" t="s">
        <v>28</v>
      </c>
      <c r="N39" s="6">
        <f>+VLOOKUP(M39,scoring!$U$10:$AA$105,3,FALSE)-72</f>
        <v>0</v>
      </c>
      <c r="O39" s="6" t="s">
        <v>168</v>
      </c>
      <c r="P39" s="6">
        <f>+VLOOKUP(O39,scoring!$U$10:$AA$105,3,FALSE)-72</f>
        <v>5</v>
      </c>
      <c r="Q39" s="6" t="s">
        <v>24</v>
      </c>
      <c r="R39" s="6">
        <f>+VLOOKUP(Q39,scoring!$U$10:$AA$105,3,FALSE)-72</f>
        <v>0</v>
      </c>
      <c r="S39" s="6" t="s">
        <v>177</v>
      </c>
      <c r="T39" s="6">
        <f>+VLOOKUP(S39,scoring!$U$10:$AA$105,3,FALSE)-72</f>
        <v>3</v>
      </c>
      <c r="U39" s="6">
        <f t="shared" si="0"/>
        <v>-11</v>
      </c>
    </row>
    <row r="40" spans="1:21" ht="16" x14ac:dyDescent="0.2">
      <c r="A40" s="3">
        <v>39</v>
      </c>
      <c r="B40" s="4" t="s">
        <v>161</v>
      </c>
      <c r="C40" s="4" t="s">
        <v>70</v>
      </c>
      <c r="D40" s="4" t="s">
        <v>71</v>
      </c>
      <c r="E40" s="4" t="s">
        <v>34</v>
      </c>
      <c r="F40" s="4">
        <f>+VLOOKUP(E40,scoring!$U$10:$AA$105,3,FALSE)-72</f>
        <v>0</v>
      </c>
      <c r="G40" s="4" t="s">
        <v>27</v>
      </c>
      <c r="H40" s="4">
        <f>+VLOOKUP(G40,scoring!$U$10:$AA$105,3,FALSE)-72</f>
        <v>1</v>
      </c>
      <c r="I40" s="4" t="s">
        <v>176</v>
      </c>
      <c r="J40" s="4">
        <f>+VLOOKUP(I40,scoring!$U$10:$AA$105,3,FALSE)-72</f>
        <v>0</v>
      </c>
      <c r="K40" s="4" t="s">
        <v>164</v>
      </c>
      <c r="L40" s="4">
        <f>+VLOOKUP(K40,scoring!$U$10:$AA$105,3,FALSE)-72</f>
        <v>-3</v>
      </c>
      <c r="M40" s="4" t="s">
        <v>75</v>
      </c>
      <c r="N40" s="4">
        <f>+VLOOKUP(M40,scoring!$U$10:$AA$105,3,FALSE)-72</f>
        <v>-1</v>
      </c>
      <c r="O40" s="4" t="s">
        <v>54</v>
      </c>
      <c r="P40" s="4">
        <f>+VLOOKUP(O40,scoring!$U$10:$AA$105,3,FALSE)-72</f>
        <v>-1</v>
      </c>
      <c r="Q40" s="4" t="s">
        <v>55</v>
      </c>
      <c r="R40" s="4">
        <f>+VLOOKUP(Q40,scoring!$U$10:$AA$105,3,FALSE)-72</f>
        <v>-1</v>
      </c>
      <c r="S40" s="4" t="s">
        <v>38</v>
      </c>
      <c r="T40" s="4">
        <f>+VLOOKUP(S40,scoring!$U$10:$AA$105,3,FALSE)-72</f>
        <v>-4</v>
      </c>
      <c r="U40" s="4">
        <f t="shared" si="0"/>
        <v>-8</v>
      </c>
    </row>
    <row r="42" spans="1:21" x14ac:dyDescent="0.2">
      <c r="U42">
        <f>+MAX(U2:U40)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A796-71D8-A04B-BFD3-7BC6F9797D80}">
  <dimension ref="A1:U86"/>
  <sheetViews>
    <sheetView topLeftCell="A4" zoomScale="150" zoomScaleNormal="150" workbookViewId="0">
      <selection activeCell="A44" sqref="A44:U84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5" width="18.5" bestFit="1" customWidth="1"/>
    <col min="6" max="6" width="6.1640625" customWidth="1"/>
    <col min="7" max="7" width="18.5" bestFit="1" customWidth="1"/>
    <col min="8" max="8" width="4.83203125" customWidth="1"/>
    <col min="9" max="9" width="18.5" bestFit="1" customWidth="1"/>
    <col min="10" max="10" width="4.83203125" customWidth="1"/>
    <col min="11" max="11" width="19.1640625" bestFit="1" customWidth="1"/>
    <col min="12" max="12" width="4.83203125" customWidth="1"/>
    <col min="13" max="13" width="20.1640625" bestFit="1" customWidth="1"/>
    <col min="14" max="14" width="4.83203125" customWidth="1"/>
    <col min="15" max="15" width="17.6640625" bestFit="1" customWidth="1"/>
    <col min="16" max="16" width="4.83203125" customWidth="1"/>
    <col min="17" max="17" width="18.6640625" bestFit="1" customWidth="1"/>
    <col min="18" max="18" width="4.83203125" customWidth="1"/>
    <col min="19" max="19" width="18.6640625" bestFit="1" customWidth="1"/>
    <col min="20" max="20" width="4.83203125" customWidth="1"/>
    <col min="21" max="21" width="13" customWidth="1"/>
  </cols>
  <sheetData>
    <row r="1" spans="1:21" x14ac:dyDescent="0.2">
      <c r="A1" s="26" t="s">
        <v>251</v>
      </c>
    </row>
    <row r="2" spans="1:21" ht="1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5</v>
      </c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/>
      <c r="S2" s="2" t="s">
        <v>11</v>
      </c>
      <c r="T2" s="2"/>
      <c r="U2" s="2" t="s">
        <v>183</v>
      </c>
    </row>
    <row r="3" spans="1:21" ht="16" x14ac:dyDescent="0.2">
      <c r="A3" s="3">
        <v>1</v>
      </c>
      <c r="B3" s="4" t="s">
        <v>104</v>
      </c>
      <c r="C3" s="4" t="s">
        <v>79</v>
      </c>
      <c r="D3" s="4" t="s">
        <v>105</v>
      </c>
      <c r="E3" s="4" t="s">
        <v>15</v>
      </c>
      <c r="F3" s="22">
        <f>+VLOOKUP(E3,scoring!$U$10:$AA$105,4,FALSE)-72</f>
        <v>1</v>
      </c>
      <c r="G3" s="4" t="s">
        <v>20</v>
      </c>
      <c r="H3" s="22">
        <f>+VLOOKUP(G3,scoring!$U$10:$AA$105,4,FALSE)-72</f>
        <v>3</v>
      </c>
      <c r="I3" s="4" t="s">
        <v>58</v>
      </c>
      <c r="J3" s="22">
        <f>+VLOOKUP(I3,scoring!$U$10:$AA$105,4,FALSE)-72</f>
        <v>-3</v>
      </c>
      <c r="K3" s="4" t="s">
        <v>44</v>
      </c>
      <c r="L3" s="22">
        <f>+VLOOKUP(K3,scoring!$U$10:$AA$105,4,FALSE)-72</f>
        <v>0</v>
      </c>
      <c r="M3" s="4" t="s">
        <v>30</v>
      </c>
      <c r="N3" s="22">
        <f>+VLOOKUP(M3,scoring!$U$10:$AA$105,4,FALSE)-72</f>
        <v>4</v>
      </c>
      <c r="O3" s="4" t="s">
        <v>30</v>
      </c>
      <c r="P3" s="22">
        <f>+VLOOKUP(O3,scoring!$U$10:$AA$105,4,FALSE)-72</f>
        <v>4</v>
      </c>
      <c r="Q3" s="4" t="s">
        <v>74</v>
      </c>
      <c r="R3" s="22">
        <f>+VLOOKUP(Q3,scoring!$U$10:$AA$105,4,FALSE)-72</f>
        <v>1</v>
      </c>
      <c r="S3" s="4" t="s">
        <v>24</v>
      </c>
      <c r="T3" s="22">
        <f>+VLOOKUP(S3,scoring!$U$10:$AA$105,4,FALSE)-72</f>
        <v>7</v>
      </c>
      <c r="U3" s="22">
        <f>IFERROR(SMALL(E3:T3,1)+SMALL(E3:T3,2)+SMALL(E3:T3,3),IFERROR(SMALL(E3:T3,1)+SMALL(E3:T3,2),IFERROR(SMALL(E3:T3,1),"-")))</f>
        <v>-2</v>
      </c>
    </row>
    <row r="4" spans="1:21" ht="16" x14ac:dyDescent="0.2">
      <c r="A4" s="5">
        <v>2</v>
      </c>
      <c r="B4" s="6" t="s">
        <v>106</v>
      </c>
      <c r="C4" s="6" t="s">
        <v>95</v>
      </c>
      <c r="D4" s="6" t="s">
        <v>96</v>
      </c>
      <c r="E4" s="6" t="s">
        <v>27</v>
      </c>
      <c r="F4" s="6">
        <f>+VLOOKUP(E4,scoring!$U$10:$AA$105,4,FALSE)-72</f>
        <v>-3</v>
      </c>
      <c r="G4" s="6" t="s">
        <v>27</v>
      </c>
      <c r="H4" s="6">
        <f>+VLOOKUP(G4,scoring!$U$10:$AA$105,4,FALSE)-72</f>
        <v>-3</v>
      </c>
      <c r="I4" s="6" t="s">
        <v>20</v>
      </c>
      <c r="J4" s="6">
        <f>+VLOOKUP(I4,scoring!$U$10:$AA$105,4,FALSE)-72</f>
        <v>3</v>
      </c>
      <c r="K4" s="6" t="s">
        <v>20</v>
      </c>
      <c r="L4" s="6">
        <f>+VLOOKUP(K4,scoring!$U$10:$AA$105,4,FALSE)-72</f>
        <v>3</v>
      </c>
      <c r="M4" s="6" t="s">
        <v>22</v>
      </c>
      <c r="N4" s="6">
        <f>+VLOOKUP(M4,scoring!$U$10:$AA$105,4,FALSE)-72</f>
        <v>1</v>
      </c>
      <c r="O4" s="6" t="s">
        <v>22</v>
      </c>
      <c r="P4" s="6">
        <f>+VLOOKUP(O4,scoring!$U$10:$AA$105,4,FALSE)-72</f>
        <v>1</v>
      </c>
      <c r="Q4" s="6" t="s">
        <v>24</v>
      </c>
      <c r="R4" s="6">
        <f>+VLOOKUP(Q4,scoring!$U$10:$AA$105,4,FALSE)-72</f>
        <v>7</v>
      </c>
      <c r="S4" s="6" t="s">
        <v>170</v>
      </c>
      <c r="T4" s="6">
        <f>+VLOOKUP(S4,scoring!$U$10:$AA$105,4,FALSE)-72</f>
        <v>1</v>
      </c>
      <c r="U4" s="6">
        <f t="shared" ref="U4:U41" si="0">IFERROR(SMALL(E4:T4,1)+SMALL(E4:T4,2)+SMALL(E4:T4,3),IFERROR(SMALL(E4:T4,1)+SMALL(E4:T4,2),IFERROR(SMALL(E4:T4,1),"-")))</f>
        <v>-5</v>
      </c>
    </row>
    <row r="5" spans="1:21" ht="16" x14ac:dyDescent="0.2">
      <c r="A5" s="3">
        <v>3</v>
      </c>
      <c r="B5" s="4" t="s">
        <v>109</v>
      </c>
      <c r="C5" s="4" t="s">
        <v>107</v>
      </c>
      <c r="D5" s="4" t="s">
        <v>108</v>
      </c>
      <c r="E5" s="4" t="s">
        <v>34</v>
      </c>
      <c r="F5" s="4">
        <f>+VLOOKUP(E5,scoring!$U$10:$AA$105,4,FALSE)-72</f>
        <v>-3</v>
      </c>
      <c r="G5" s="4" t="s">
        <v>37</v>
      </c>
      <c r="H5" s="4">
        <f>+VLOOKUP(G5,scoring!$U$10:$AA$105,4,FALSE)-72</f>
        <v>-4</v>
      </c>
      <c r="I5" s="4" t="s">
        <v>37</v>
      </c>
      <c r="J5" s="4">
        <f>+VLOOKUP(I5,scoring!$U$10:$AA$105,4,FALSE)-72</f>
        <v>-4</v>
      </c>
      <c r="K5" s="4" t="s">
        <v>20</v>
      </c>
      <c r="L5" s="4">
        <f>+VLOOKUP(K5,scoring!$U$10:$AA$105,4,FALSE)-72</f>
        <v>3</v>
      </c>
      <c r="M5" s="4" t="s">
        <v>165</v>
      </c>
      <c r="N5" s="4">
        <f>+VLOOKUP(M5,scoring!$U$10:$AA$105,4,FALSE)-72</f>
        <v>3</v>
      </c>
      <c r="O5" s="4" t="s">
        <v>21</v>
      </c>
      <c r="P5" s="4">
        <f>+VLOOKUP(O5,scoring!$U$10:$AA$105,4,FALSE)-72</f>
        <v>6</v>
      </c>
      <c r="Q5" s="4" t="s">
        <v>64</v>
      </c>
      <c r="R5" s="4">
        <f>+VLOOKUP(Q5,scoring!$U$10:$AA$105,4,FALSE)-72</f>
        <v>2</v>
      </c>
      <c r="S5" s="4" t="s">
        <v>174</v>
      </c>
      <c r="T5" s="4">
        <f>+VLOOKUP(S5,scoring!$U$10:$AA$105,4,FALSE)-72</f>
        <v>5</v>
      </c>
      <c r="U5" s="4">
        <f t="shared" si="0"/>
        <v>-11</v>
      </c>
    </row>
    <row r="6" spans="1:21" ht="16" x14ac:dyDescent="0.2">
      <c r="A6" s="5">
        <v>4</v>
      </c>
      <c r="B6" s="6" t="s">
        <v>110</v>
      </c>
      <c r="C6" s="6" t="s">
        <v>77</v>
      </c>
      <c r="D6" s="6" t="s">
        <v>78</v>
      </c>
      <c r="E6" s="6" t="s">
        <v>15</v>
      </c>
      <c r="F6" s="6">
        <f>+VLOOKUP(E6,scoring!$U$10:$AA$105,4,FALSE)-72</f>
        <v>1</v>
      </c>
      <c r="G6" s="6" t="s">
        <v>33</v>
      </c>
      <c r="H6" s="6">
        <f>+VLOOKUP(G6,scoring!$U$10:$AA$105,4,FALSE)-72</f>
        <v>-1</v>
      </c>
      <c r="I6" s="6" t="s">
        <v>37</v>
      </c>
      <c r="J6" s="6">
        <f>+VLOOKUP(I6,scoring!$U$10:$AA$105,4,FALSE)-72</f>
        <v>-4</v>
      </c>
      <c r="K6" s="6" t="s">
        <v>41</v>
      </c>
      <c r="L6" s="6">
        <f>+VLOOKUP(K6,scoring!$U$10:$AA$105,4,FALSE)-72</f>
        <v>-4</v>
      </c>
      <c r="M6" s="6" t="s">
        <v>42</v>
      </c>
      <c r="N6" s="6">
        <f>+VLOOKUP(M6,scoring!$U$10:$AA$105,4,FALSE)-72</f>
        <v>4</v>
      </c>
      <c r="O6" s="6" t="s">
        <v>42</v>
      </c>
      <c r="P6" s="6">
        <f>+VLOOKUP(O6,scoring!$U$10:$AA$105,4,FALSE)-72</f>
        <v>4</v>
      </c>
      <c r="Q6" s="6" t="s">
        <v>38</v>
      </c>
      <c r="R6" s="6">
        <f>+VLOOKUP(Q6,scoring!$U$10:$AA$105,4,FALSE)-72</f>
        <v>-2</v>
      </c>
      <c r="S6" s="6" t="s">
        <v>171</v>
      </c>
      <c r="T6" s="6">
        <f>+VLOOKUP(S6,scoring!$U$10:$AA$105,4,FALSE)-72</f>
        <v>2</v>
      </c>
      <c r="U6" s="6">
        <f t="shared" si="0"/>
        <v>-10</v>
      </c>
    </row>
    <row r="7" spans="1:21" ht="16" x14ac:dyDescent="0.2">
      <c r="A7" s="3">
        <v>5</v>
      </c>
      <c r="B7" s="4" t="s">
        <v>146</v>
      </c>
      <c r="C7" s="4" t="s">
        <v>59</v>
      </c>
      <c r="D7" s="4" t="s">
        <v>60</v>
      </c>
      <c r="E7" s="4" t="s">
        <v>33</v>
      </c>
      <c r="F7" s="4">
        <f>+VLOOKUP(E7,scoring!$U$10:$AA$105,4,FALSE)-72</f>
        <v>-1</v>
      </c>
      <c r="G7" s="4" t="s">
        <v>33</v>
      </c>
      <c r="H7" s="4">
        <f>+VLOOKUP(G7,scoring!$U$10:$AA$105,4,FALSE)-72</f>
        <v>-1</v>
      </c>
      <c r="I7" s="4" t="s">
        <v>54</v>
      </c>
      <c r="J7" s="4">
        <f>+VLOOKUP(I7,scoring!$U$10:$AA$105,4,FALSE)-72</f>
        <v>-4</v>
      </c>
      <c r="K7" s="4" t="s">
        <v>41</v>
      </c>
      <c r="L7" s="4">
        <f>+VLOOKUP(K7,scoring!$U$10:$AA$105,4,FALSE)-72</f>
        <v>-4</v>
      </c>
      <c r="M7" s="4" t="s">
        <v>41</v>
      </c>
      <c r="N7" s="4">
        <f>+VLOOKUP(M7,scoring!$U$10:$AA$105,4,FALSE)-72</f>
        <v>-4</v>
      </c>
      <c r="O7" s="4" t="s">
        <v>165</v>
      </c>
      <c r="P7" s="4">
        <f>+VLOOKUP(O7,scoring!$U$10:$AA$105,4,FALSE)-72</f>
        <v>3</v>
      </c>
      <c r="Q7" s="4" t="s">
        <v>75</v>
      </c>
      <c r="R7" s="4">
        <f>+VLOOKUP(Q7,scoring!$U$10:$AA$105,4,FALSE)-72</f>
        <v>0</v>
      </c>
      <c r="S7" s="4" t="s">
        <v>21</v>
      </c>
      <c r="T7" s="4">
        <f>+VLOOKUP(S7,scoring!$U$10:$AA$105,4,FALSE)-72</f>
        <v>6</v>
      </c>
      <c r="U7" s="4">
        <f t="shared" si="0"/>
        <v>-12</v>
      </c>
    </row>
    <row r="8" spans="1:21" ht="16" x14ac:dyDescent="0.2">
      <c r="A8" s="5">
        <v>6</v>
      </c>
      <c r="B8" s="6" t="s">
        <v>111</v>
      </c>
      <c r="C8" s="6" t="s">
        <v>84</v>
      </c>
      <c r="D8" s="6" t="s">
        <v>85</v>
      </c>
      <c r="E8" s="6" t="s">
        <v>32</v>
      </c>
      <c r="F8" s="6">
        <f>+VLOOKUP(E8,scoring!$U$10:$AA$105,4,FALSE)-72</f>
        <v>-3</v>
      </c>
      <c r="G8" s="6" t="s">
        <v>32</v>
      </c>
      <c r="H8" s="6">
        <f>+VLOOKUP(G8,scoring!$U$10:$AA$105,4,FALSE)-72</f>
        <v>-3</v>
      </c>
      <c r="I8" s="6" t="s">
        <v>74</v>
      </c>
      <c r="J8" s="6">
        <f>+VLOOKUP(I8,scoring!$U$10:$AA$105,4,FALSE)-72</f>
        <v>1</v>
      </c>
      <c r="K8" s="6" t="s">
        <v>74</v>
      </c>
      <c r="L8" s="6">
        <f>+VLOOKUP(K8,scoring!$U$10:$AA$105,4,FALSE)-72</f>
        <v>1</v>
      </c>
      <c r="M8" s="6" t="s">
        <v>37</v>
      </c>
      <c r="N8" s="6">
        <f>+VLOOKUP(M8,scoring!$U$10:$AA$105,4,FALSE)-72</f>
        <v>-4</v>
      </c>
      <c r="O8" s="6" t="s">
        <v>37</v>
      </c>
      <c r="P8" s="6">
        <f>+VLOOKUP(O8,scoring!$U$10:$AA$105,4,FALSE)-72</f>
        <v>-4</v>
      </c>
      <c r="Q8" s="6" t="s">
        <v>50</v>
      </c>
      <c r="R8" s="6">
        <f>+VLOOKUP(Q8,scoring!$U$10:$AA$105,4,FALSE)-72</f>
        <v>-2</v>
      </c>
      <c r="S8" s="6" t="s">
        <v>50</v>
      </c>
      <c r="T8" s="6">
        <f>+VLOOKUP(S8,scoring!$U$10:$AA$105,4,FALSE)-72</f>
        <v>-2</v>
      </c>
      <c r="U8" s="6">
        <f t="shared" si="0"/>
        <v>-11</v>
      </c>
    </row>
    <row r="9" spans="1:21" ht="16" x14ac:dyDescent="0.2">
      <c r="A9" s="3">
        <v>7</v>
      </c>
      <c r="B9" s="4" t="s">
        <v>112</v>
      </c>
      <c r="C9" s="4" t="s">
        <v>56</v>
      </c>
      <c r="D9" s="4" t="s">
        <v>57</v>
      </c>
      <c r="E9" s="4" t="s">
        <v>34</v>
      </c>
      <c r="F9" s="4">
        <f>+VLOOKUP(E9,scoring!$U$10:$AA$105,4,FALSE)-72</f>
        <v>-3</v>
      </c>
      <c r="G9" s="4" t="s">
        <v>34</v>
      </c>
      <c r="H9" s="4">
        <f>+VLOOKUP(G9,scoring!$U$10:$AA$105,4,FALSE)-72</f>
        <v>-3</v>
      </c>
      <c r="I9" s="4" t="s">
        <v>34</v>
      </c>
      <c r="J9" s="4">
        <f>+VLOOKUP(I9,scoring!$U$10:$AA$105,4,FALSE)-72</f>
        <v>-3</v>
      </c>
      <c r="K9" s="4" t="s">
        <v>29</v>
      </c>
      <c r="L9" s="4">
        <f>+VLOOKUP(K9,scoring!$U$10:$AA$105,4,FALSE)-72</f>
        <v>-2</v>
      </c>
      <c r="M9" s="4" t="s">
        <v>170</v>
      </c>
      <c r="N9" s="4">
        <f>+VLOOKUP(M9,scoring!$U$10:$AA$105,4,FALSE)-72</f>
        <v>1</v>
      </c>
      <c r="O9" s="4" t="s">
        <v>24</v>
      </c>
      <c r="P9" s="4">
        <f>+VLOOKUP(O9,scoring!$U$10:$AA$105,4,FALSE)-72</f>
        <v>7</v>
      </c>
      <c r="Q9" s="4" t="s">
        <v>97</v>
      </c>
      <c r="R9" s="4">
        <f>+VLOOKUP(Q9,scoring!$U$10:$AA$105,4,FALSE)-72</f>
        <v>2</v>
      </c>
      <c r="S9" s="4" t="s">
        <v>175</v>
      </c>
      <c r="T9" s="4">
        <f>+VLOOKUP(S9,scoring!$U$10:$AA$105,4,FALSE)-72</f>
        <v>3</v>
      </c>
      <c r="U9" s="4">
        <f t="shared" si="0"/>
        <v>-9</v>
      </c>
    </row>
    <row r="10" spans="1:21" ht="16" x14ac:dyDescent="0.2">
      <c r="A10" s="5">
        <v>8</v>
      </c>
      <c r="B10" s="6" t="s">
        <v>113</v>
      </c>
      <c r="C10" s="6" t="s">
        <v>65</v>
      </c>
      <c r="D10" s="6" t="s">
        <v>66</v>
      </c>
      <c r="E10" s="6" t="s">
        <v>27</v>
      </c>
      <c r="F10" s="6">
        <f>+VLOOKUP(E10,scoring!$U$10:$AA$105,4,FALSE)-72</f>
        <v>-3</v>
      </c>
      <c r="G10" s="6" t="s">
        <v>27</v>
      </c>
      <c r="H10" s="6">
        <f>+VLOOKUP(G10,scoring!$U$10:$AA$105,4,FALSE)-72</f>
        <v>-3</v>
      </c>
      <c r="I10" s="6" t="s">
        <v>47</v>
      </c>
      <c r="J10" s="6">
        <f>+VLOOKUP(I10,scoring!$U$10:$AA$105,4,FALSE)-72</f>
        <v>-4</v>
      </c>
      <c r="K10" s="6" t="s">
        <v>54</v>
      </c>
      <c r="L10" s="6">
        <f>+VLOOKUP(K10,scoring!$U$10:$AA$105,4,FALSE)-72</f>
        <v>-4</v>
      </c>
      <c r="M10" s="6" t="s">
        <v>38</v>
      </c>
      <c r="N10" s="6">
        <f>+VLOOKUP(M10,scoring!$U$10:$AA$105,4,FALSE)-72</f>
        <v>-2</v>
      </c>
      <c r="O10" s="6" t="s">
        <v>94</v>
      </c>
      <c r="P10" s="6">
        <f>+VLOOKUP(O10,scoring!$U$10:$AA$105,4,FALSE)-72</f>
        <v>-1</v>
      </c>
      <c r="Q10" s="6" t="s">
        <v>26</v>
      </c>
      <c r="R10" s="6">
        <f>+VLOOKUP(Q10,scoring!$U$10:$AA$105,4,FALSE)-72</f>
        <v>9</v>
      </c>
      <c r="S10" s="6" t="s">
        <v>26</v>
      </c>
      <c r="T10" s="6">
        <f>+VLOOKUP(S10,scoring!$U$10:$AA$105,4,FALSE)-72</f>
        <v>9</v>
      </c>
      <c r="U10" s="6">
        <f t="shared" si="0"/>
        <v>-11</v>
      </c>
    </row>
    <row r="11" spans="1:21" ht="16" x14ac:dyDescent="0.2">
      <c r="A11" s="3">
        <v>9</v>
      </c>
      <c r="B11" s="4" t="s">
        <v>114</v>
      </c>
      <c r="C11" s="4" t="s">
        <v>115</v>
      </c>
      <c r="D11" s="4" t="s">
        <v>116</v>
      </c>
      <c r="E11" s="4" t="s">
        <v>34</v>
      </c>
      <c r="F11" s="4">
        <f>+VLOOKUP(E11,scoring!$U$10:$AA$105,4,FALSE)-72</f>
        <v>-3</v>
      </c>
      <c r="G11" s="4" t="s">
        <v>34</v>
      </c>
      <c r="H11" s="4">
        <f>+VLOOKUP(G11,scoring!$U$10:$AA$105,4,FALSE)-72</f>
        <v>-3</v>
      </c>
      <c r="I11" s="4" t="s">
        <v>41</v>
      </c>
      <c r="J11" s="4">
        <f>+VLOOKUP(I11,scoring!$U$10:$AA$105,4,FALSE)-72</f>
        <v>-4</v>
      </c>
      <c r="K11" s="4" t="s">
        <v>165</v>
      </c>
      <c r="L11" s="4">
        <f>+VLOOKUP(K11,scoring!$U$10:$AA$105,4,FALSE)-72</f>
        <v>3</v>
      </c>
      <c r="M11" s="4" t="s">
        <v>165</v>
      </c>
      <c r="N11" s="4">
        <f>+VLOOKUP(M11,scoring!$U$10:$AA$105,4,FALSE)-72</f>
        <v>3</v>
      </c>
      <c r="O11" s="4" t="s">
        <v>21</v>
      </c>
      <c r="P11" s="4">
        <f>+VLOOKUP(O11,scoring!$U$10:$AA$105,4,FALSE)-72</f>
        <v>6</v>
      </c>
      <c r="Q11" s="4" t="s">
        <v>21</v>
      </c>
      <c r="R11" s="4">
        <f>+VLOOKUP(Q11,scoring!$U$10:$AA$105,4,FALSE)-72</f>
        <v>6</v>
      </c>
      <c r="S11" s="4" t="s">
        <v>26</v>
      </c>
      <c r="T11" s="4">
        <f>+VLOOKUP(S11,scoring!$U$10:$AA$105,4,FALSE)-72</f>
        <v>9</v>
      </c>
      <c r="U11" s="4">
        <f t="shared" si="0"/>
        <v>-10</v>
      </c>
    </row>
    <row r="12" spans="1:21" ht="16" x14ac:dyDescent="0.2">
      <c r="A12" s="5">
        <v>10</v>
      </c>
      <c r="B12" s="6" t="s">
        <v>119</v>
      </c>
      <c r="C12" s="6" t="s">
        <v>117</v>
      </c>
      <c r="D12" s="6" t="s">
        <v>118</v>
      </c>
      <c r="E12" s="6" t="s">
        <v>43</v>
      </c>
      <c r="F12" s="6">
        <f>+VLOOKUP(E12,scoring!$U$10:$AA$105,4,FALSE)-72</f>
        <v>-6</v>
      </c>
      <c r="G12" s="6" t="s">
        <v>58</v>
      </c>
      <c r="H12" s="6">
        <f>+VLOOKUP(G12,scoring!$U$10:$AA$105,4,FALSE)-72</f>
        <v>-3</v>
      </c>
      <c r="I12" s="6" t="s">
        <v>32</v>
      </c>
      <c r="J12" s="6">
        <f>+VLOOKUP(I12,scoring!$U$10:$AA$105,4,FALSE)-72</f>
        <v>-3</v>
      </c>
      <c r="K12" s="6" t="s">
        <v>75</v>
      </c>
      <c r="L12" s="6">
        <f>+VLOOKUP(K12,scoring!$U$10:$AA$105,4,FALSE)-72</f>
        <v>0</v>
      </c>
      <c r="M12" s="6" t="s">
        <v>178</v>
      </c>
      <c r="N12" s="6">
        <f>+VLOOKUP(M12,scoring!$U$10:$AA$105,4,FALSE)-72</f>
        <v>4</v>
      </c>
      <c r="O12" s="6" t="s">
        <v>26</v>
      </c>
      <c r="P12" s="6">
        <f>+VLOOKUP(O12,scoring!$U$10:$AA$105,4,FALSE)-72</f>
        <v>9</v>
      </c>
      <c r="Q12" s="6" t="s">
        <v>26</v>
      </c>
      <c r="R12" s="6">
        <f>+VLOOKUP(Q12,scoring!$U$10:$AA$105,4,FALSE)-72</f>
        <v>9</v>
      </c>
      <c r="S12" s="6" t="s">
        <v>26</v>
      </c>
      <c r="T12" s="6">
        <f>+VLOOKUP(S12,scoring!$U$10:$AA$105,4,FALSE)-72</f>
        <v>9</v>
      </c>
      <c r="U12" s="6">
        <f t="shared" si="0"/>
        <v>-12</v>
      </c>
    </row>
    <row r="13" spans="1:21" ht="16" x14ac:dyDescent="0.2">
      <c r="A13" s="3">
        <v>11</v>
      </c>
      <c r="B13" s="4" t="s">
        <v>247</v>
      </c>
      <c r="C13" s="7" t="s">
        <v>121</v>
      </c>
      <c r="D13" s="4" t="s">
        <v>100</v>
      </c>
      <c r="E13" s="4" t="s">
        <v>69</v>
      </c>
      <c r="F13" s="4">
        <f>+VLOOKUP(E13,scoring!$U$10:$AA$105,4,FALSE)-72</f>
        <v>-1</v>
      </c>
      <c r="G13" s="4" t="s">
        <v>47</v>
      </c>
      <c r="H13" s="4">
        <f>+VLOOKUP(G13,scoring!$U$10:$AA$105,4,FALSE)-72</f>
        <v>-4</v>
      </c>
      <c r="I13" s="4" t="s">
        <v>20</v>
      </c>
      <c r="J13" s="4">
        <f>+VLOOKUP(I13,scoring!$U$10:$AA$105,4,FALSE)-72</f>
        <v>3</v>
      </c>
      <c r="K13" s="4" t="s">
        <v>74</v>
      </c>
      <c r="L13" s="4">
        <f>+VLOOKUP(K13,scoring!$U$10:$AA$105,4,FALSE)-72</f>
        <v>1</v>
      </c>
      <c r="M13" s="4" t="s">
        <v>29</v>
      </c>
      <c r="N13" s="4">
        <f>+VLOOKUP(M13,scoring!$U$10:$AA$105,4,FALSE)-72</f>
        <v>-2</v>
      </c>
      <c r="O13" s="4" t="s">
        <v>51</v>
      </c>
      <c r="P13" s="4">
        <f>+VLOOKUP(O13,scoring!$U$10:$AA$105,4,FALSE)-72</f>
        <v>-1</v>
      </c>
      <c r="Q13" s="4" t="s">
        <v>172</v>
      </c>
      <c r="R13" s="4">
        <f>+VLOOKUP(Q13,scoring!$U$10:$AA$105,4,FALSE)-72</f>
        <v>2</v>
      </c>
      <c r="S13" s="4" t="s">
        <v>173</v>
      </c>
      <c r="T13" s="4">
        <f>+VLOOKUP(S13,scoring!$U$10:$AA$105,4,FALSE)-72</f>
        <v>1</v>
      </c>
      <c r="U13" s="4">
        <f t="shared" si="0"/>
        <v>-7</v>
      </c>
    </row>
    <row r="14" spans="1:21" ht="16" x14ac:dyDescent="0.2">
      <c r="A14" s="5">
        <v>12</v>
      </c>
      <c r="B14" s="6" t="s">
        <v>122</v>
      </c>
      <c r="C14" s="6" t="s">
        <v>123</v>
      </c>
      <c r="D14" s="6" t="s">
        <v>87</v>
      </c>
      <c r="E14" s="6" t="s">
        <v>15</v>
      </c>
      <c r="F14" s="6">
        <f>+VLOOKUP(E14,scoring!$U$10:$AA$105,4,FALSE)-72</f>
        <v>1</v>
      </c>
      <c r="G14" s="6" t="s">
        <v>34</v>
      </c>
      <c r="H14" s="6">
        <f>+VLOOKUP(G14,scoring!$U$10:$AA$105,4,FALSE)-72</f>
        <v>-3</v>
      </c>
      <c r="I14" s="6" t="s">
        <v>32</v>
      </c>
      <c r="J14" s="6">
        <f>+VLOOKUP(I14,scoring!$U$10:$AA$105,4,FALSE)-72</f>
        <v>-3</v>
      </c>
      <c r="K14" s="6" t="s">
        <v>47</v>
      </c>
      <c r="L14" s="6">
        <f>+VLOOKUP(K14,scoring!$U$10:$AA$105,4,FALSE)-72</f>
        <v>-4</v>
      </c>
      <c r="M14" s="6" t="s">
        <v>22</v>
      </c>
      <c r="N14" s="6">
        <f>+VLOOKUP(M14,scoring!$U$10:$AA$105,4,FALSE)-72</f>
        <v>1</v>
      </c>
      <c r="O14" s="6" t="s">
        <v>76</v>
      </c>
      <c r="P14" s="6">
        <f>+VLOOKUP(O14,scoring!$U$10:$AA$105,4,FALSE)-72</f>
        <v>-1</v>
      </c>
      <c r="Q14" s="6" t="s">
        <v>26</v>
      </c>
      <c r="R14" s="6">
        <f>+VLOOKUP(Q14,scoring!$U$10:$AA$105,4,FALSE)-72</f>
        <v>9</v>
      </c>
      <c r="S14" s="6" t="s">
        <v>26</v>
      </c>
      <c r="T14" s="6">
        <f>+VLOOKUP(S14,scoring!$U$10:$AA$105,4,FALSE)-72</f>
        <v>9</v>
      </c>
      <c r="U14" s="6">
        <f t="shared" si="0"/>
        <v>-10</v>
      </c>
    </row>
    <row r="15" spans="1:21" ht="16" x14ac:dyDescent="0.2">
      <c r="A15" s="3">
        <v>13</v>
      </c>
      <c r="B15" s="4" t="s">
        <v>124</v>
      </c>
      <c r="C15" s="4" t="s">
        <v>12</v>
      </c>
      <c r="D15" s="4" t="s">
        <v>13</v>
      </c>
      <c r="E15" s="4" t="s">
        <v>14</v>
      </c>
      <c r="F15" s="4">
        <f>+VLOOKUP(E15,scoring!$U$10:$AA$105,4,FALSE)-72</f>
        <v>2</v>
      </c>
      <c r="G15" s="4" t="s">
        <v>14</v>
      </c>
      <c r="H15" s="4">
        <f>+VLOOKUP(G15,scoring!$U$10:$AA$105,4,FALSE)-72</f>
        <v>2</v>
      </c>
      <c r="I15" s="4" t="s">
        <v>14</v>
      </c>
      <c r="J15" s="4">
        <f>+VLOOKUP(I15,scoring!$U$10:$AA$105,4,FALSE)-72</f>
        <v>2</v>
      </c>
      <c r="K15" s="4" t="s">
        <v>42</v>
      </c>
      <c r="L15" s="4">
        <f>+VLOOKUP(K15,scoring!$U$10:$AA$105,4,FALSE)-72</f>
        <v>4</v>
      </c>
      <c r="M15" s="4" t="s">
        <v>42</v>
      </c>
      <c r="N15" s="4">
        <f>+VLOOKUP(M15,scoring!$U$10:$AA$105,4,FALSE)-72</f>
        <v>4</v>
      </c>
      <c r="O15" s="4" t="s">
        <v>42</v>
      </c>
      <c r="P15" s="4">
        <f>+VLOOKUP(O15,scoring!$U$10:$AA$105,4,FALSE)-72</f>
        <v>4</v>
      </c>
      <c r="Q15" s="4" t="s">
        <v>34</v>
      </c>
      <c r="R15" s="4">
        <f>+VLOOKUP(Q15,scoring!$U$10:$AA$105,4,FALSE)-72</f>
        <v>-3</v>
      </c>
      <c r="S15" s="4" t="s">
        <v>26</v>
      </c>
      <c r="T15" s="4">
        <f>+VLOOKUP(S15,scoring!$U$10:$AA$105,4,FALSE)-72</f>
        <v>9</v>
      </c>
      <c r="U15" s="4">
        <f t="shared" si="0"/>
        <v>1</v>
      </c>
    </row>
    <row r="16" spans="1:21" ht="16" x14ac:dyDescent="0.2">
      <c r="A16" s="5">
        <v>14</v>
      </c>
      <c r="B16" s="6" t="s">
        <v>125</v>
      </c>
      <c r="C16" s="6" t="s">
        <v>39</v>
      </c>
      <c r="D16" s="6" t="s">
        <v>40</v>
      </c>
      <c r="E16" s="6" t="s">
        <v>15</v>
      </c>
      <c r="F16" s="6">
        <f>+VLOOKUP(E16,scoring!$U$10:$AA$105,4,FALSE)-72</f>
        <v>1</v>
      </c>
      <c r="G16" s="6" t="s">
        <v>41</v>
      </c>
      <c r="H16" s="6">
        <f>+VLOOKUP(G16,scoring!$U$10:$AA$105,4,FALSE)-72</f>
        <v>-4</v>
      </c>
      <c r="I16" s="6" t="s">
        <v>41</v>
      </c>
      <c r="J16" s="6">
        <f>+VLOOKUP(I16,scoring!$U$10:$AA$105,4,FALSE)-72</f>
        <v>-4</v>
      </c>
      <c r="K16" s="6" t="s">
        <v>41</v>
      </c>
      <c r="L16" s="6">
        <f>+VLOOKUP(K16,scoring!$U$10:$AA$105,4,FALSE)-72</f>
        <v>-4</v>
      </c>
      <c r="M16" s="6" t="s">
        <v>23</v>
      </c>
      <c r="N16" s="6">
        <f>+VLOOKUP(M16,scoring!$U$10:$AA$105,4,FALSE)-72</f>
        <v>6</v>
      </c>
      <c r="O16" s="6" t="s">
        <v>23</v>
      </c>
      <c r="P16" s="6">
        <f>+VLOOKUP(O16,scoring!$U$10:$AA$105,4,FALSE)-72</f>
        <v>6</v>
      </c>
      <c r="Q16" s="6" t="s">
        <v>23</v>
      </c>
      <c r="R16" s="6">
        <f>+VLOOKUP(Q16,scoring!$U$10:$AA$105,4,FALSE)-72</f>
        <v>6</v>
      </c>
      <c r="S16" s="6" t="s">
        <v>20</v>
      </c>
      <c r="T16" s="6">
        <f>+VLOOKUP(S16,scoring!$U$10:$AA$105,4,FALSE)-72</f>
        <v>3</v>
      </c>
      <c r="U16" s="6">
        <f t="shared" si="0"/>
        <v>-12</v>
      </c>
    </row>
    <row r="17" spans="1:21" ht="16" x14ac:dyDescent="0.2">
      <c r="A17" s="3">
        <v>15</v>
      </c>
      <c r="B17" s="4" t="s">
        <v>126</v>
      </c>
      <c r="C17" s="4" t="s">
        <v>62</v>
      </c>
      <c r="D17" s="4" t="s">
        <v>63</v>
      </c>
      <c r="E17" s="4" t="s">
        <v>15</v>
      </c>
      <c r="F17" s="4">
        <f>+VLOOKUP(E17,scoring!$U$10:$AA$105,4,FALSE)-72</f>
        <v>1</v>
      </c>
      <c r="G17" s="4" t="s">
        <v>15</v>
      </c>
      <c r="H17" s="4">
        <f>+VLOOKUP(G17,scoring!$U$10:$AA$105,4,FALSE)-72</f>
        <v>1</v>
      </c>
      <c r="I17" s="4" t="s">
        <v>41</v>
      </c>
      <c r="J17" s="4">
        <f>+VLOOKUP(I17,scoring!$U$10:$AA$105,4,FALSE)-72</f>
        <v>-4</v>
      </c>
      <c r="K17" s="4" t="s">
        <v>41</v>
      </c>
      <c r="L17" s="4">
        <f>+VLOOKUP(K17,scoring!$U$10:$AA$105,4,FALSE)-72</f>
        <v>-4</v>
      </c>
      <c r="M17" s="4" t="s">
        <v>32</v>
      </c>
      <c r="N17" s="4">
        <f>+VLOOKUP(M17,scoring!$U$10:$AA$105,4,FALSE)-72</f>
        <v>-3</v>
      </c>
      <c r="O17" s="4" t="s">
        <v>29</v>
      </c>
      <c r="P17" s="4">
        <f>+VLOOKUP(O17,scoring!$U$10:$AA$105,4,FALSE)-72</f>
        <v>-2</v>
      </c>
      <c r="Q17" s="4" t="s">
        <v>171</v>
      </c>
      <c r="R17" s="4">
        <f>+VLOOKUP(Q17,scoring!$U$10:$AA$105,4,FALSE)-72</f>
        <v>2</v>
      </c>
      <c r="S17" s="4" t="s">
        <v>171</v>
      </c>
      <c r="T17" s="4">
        <f>+VLOOKUP(S17,scoring!$U$10:$AA$105,4,FALSE)-72</f>
        <v>2</v>
      </c>
      <c r="U17" s="4">
        <f t="shared" si="0"/>
        <v>-11</v>
      </c>
    </row>
    <row r="18" spans="1:21" ht="16" x14ac:dyDescent="0.2">
      <c r="A18" s="5">
        <v>16</v>
      </c>
      <c r="B18" s="6" t="s">
        <v>127</v>
      </c>
      <c r="C18" s="6" t="s">
        <v>80</v>
      </c>
      <c r="D18" s="6" t="s">
        <v>81</v>
      </c>
      <c r="E18" s="6" t="s">
        <v>34</v>
      </c>
      <c r="F18" s="6">
        <f>+VLOOKUP(E18,scoring!$U$10:$AA$105,4,FALSE)-72</f>
        <v>-3</v>
      </c>
      <c r="G18" s="6" t="s">
        <v>34</v>
      </c>
      <c r="H18" s="6">
        <f>+VLOOKUP(G18,scoring!$U$10:$AA$105,4,FALSE)-72</f>
        <v>-3</v>
      </c>
      <c r="I18" s="6" t="s">
        <v>34</v>
      </c>
      <c r="J18" s="6">
        <f>+VLOOKUP(I18,scoring!$U$10:$AA$105,4,FALSE)-72</f>
        <v>-3</v>
      </c>
      <c r="K18" s="6" t="s">
        <v>54</v>
      </c>
      <c r="L18" s="6">
        <f>+VLOOKUP(K18,scoring!$U$10:$AA$105,4,FALSE)-72</f>
        <v>-4</v>
      </c>
      <c r="M18" s="6" t="s">
        <v>25</v>
      </c>
      <c r="N18" s="6">
        <f>+VLOOKUP(M18,scoring!$U$10:$AA$105,4,FALSE)-72</f>
        <v>-2</v>
      </c>
      <c r="O18" s="6" t="s">
        <v>26</v>
      </c>
      <c r="P18" s="6">
        <f>+VLOOKUP(O18,scoring!$U$10:$AA$105,4,FALSE)-72</f>
        <v>9</v>
      </c>
      <c r="Q18" s="6" t="s">
        <v>26</v>
      </c>
      <c r="R18" s="6">
        <f>+VLOOKUP(Q18,scoring!$U$10:$AA$105,4,FALSE)-72</f>
        <v>9</v>
      </c>
      <c r="S18" s="6" t="s">
        <v>26</v>
      </c>
      <c r="T18" s="6">
        <f>+VLOOKUP(S18,scoring!$U$10:$AA$105,4,FALSE)-72</f>
        <v>9</v>
      </c>
      <c r="U18" s="6">
        <f t="shared" si="0"/>
        <v>-10</v>
      </c>
    </row>
    <row r="19" spans="1:21" ht="16" x14ac:dyDescent="0.2">
      <c r="A19" s="3">
        <v>17</v>
      </c>
      <c r="B19" s="4" t="s">
        <v>128</v>
      </c>
      <c r="C19" s="4" t="s">
        <v>129</v>
      </c>
      <c r="D19" s="4" t="s">
        <v>130</v>
      </c>
      <c r="E19" s="4" t="s">
        <v>15</v>
      </c>
      <c r="F19" s="4">
        <f>+VLOOKUP(E19,scoring!$U$10:$AA$105,4,FALSE)-72</f>
        <v>1</v>
      </c>
      <c r="G19" s="4" t="s">
        <v>54</v>
      </c>
      <c r="H19" s="4">
        <f>+VLOOKUP(G19,scoring!$U$10:$AA$105,4,FALSE)-72</f>
        <v>-4</v>
      </c>
      <c r="I19" s="4" t="s">
        <v>26</v>
      </c>
      <c r="J19" s="4">
        <f>+VLOOKUP(I19,scoring!$U$10:$AA$105,4,FALSE)-72</f>
        <v>9</v>
      </c>
      <c r="K19" s="4" t="s">
        <v>41</v>
      </c>
      <c r="L19" s="4">
        <f>+VLOOKUP(K19,scoring!$U$10:$AA$105,4,FALSE)-72</f>
        <v>-4</v>
      </c>
      <c r="M19" s="4" t="s">
        <v>34</v>
      </c>
      <c r="N19" s="4">
        <f>+VLOOKUP(M19,scoring!$U$10:$AA$105,4,FALSE)-72</f>
        <v>-3</v>
      </c>
      <c r="O19" s="4" t="s">
        <v>37</v>
      </c>
      <c r="P19" s="4">
        <f>+VLOOKUP(O19,scoring!$U$10:$AA$105,4,FALSE)-72</f>
        <v>-4</v>
      </c>
      <c r="Q19" s="4" t="s">
        <v>167</v>
      </c>
      <c r="R19" s="4">
        <f>+VLOOKUP(Q19,scoring!$U$10:$AA$105,4,FALSE)-72</f>
        <v>0</v>
      </c>
      <c r="S19" s="4" t="s">
        <v>26</v>
      </c>
      <c r="T19" s="4">
        <f>+VLOOKUP(S19,scoring!$U$10:$AA$105,4,FALSE)-72</f>
        <v>9</v>
      </c>
      <c r="U19" s="4">
        <f t="shared" si="0"/>
        <v>-12</v>
      </c>
    </row>
    <row r="20" spans="1:21" ht="16" x14ac:dyDescent="0.2">
      <c r="A20" s="5">
        <v>18</v>
      </c>
      <c r="B20" s="6" t="s">
        <v>131</v>
      </c>
      <c r="C20" s="6" t="s">
        <v>45</v>
      </c>
      <c r="D20" s="6" t="s">
        <v>46</v>
      </c>
      <c r="E20" s="6" t="s">
        <v>34</v>
      </c>
      <c r="F20" s="6">
        <f>+VLOOKUP(E20,scoring!$U$10:$AA$105,4,FALSE)-72</f>
        <v>-3</v>
      </c>
      <c r="G20" s="6" t="s">
        <v>47</v>
      </c>
      <c r="H20" s="6">
        <f>+VLOOKUP(G20,scoring!$U$10:$AA$105,4,FALSE)-72</f>
        <v>-4</v>
      </c>
      <c r="I20" s="6" t="s">
        <v>27</v>
      </c>
      <c r="J20" s="6">
        <f>+VLOOKUP(I20,scoring!$U$10:$AA$105,4,FALSE)-72</f>
        <v>-3</v>
      </c>
      <c r="K20" s="6" t="s">
        <v>54</v>
      </c>
      <c r="L20" s="6">
        <f>+VLOOKUP(K20,scoring!$U$10:$AA$105,4,FALSE)-72</f>
        <v>-4</v>
      </c>
      <c r="M20" s="6" t="s">
        <v>21</v>
      </c>
      <c r="N20" s="6">
        <f>+VLOOKUP(M20,scoring!$U$10:$AA$105,4,FALSE)-72</f>
        <v>6</v>
      </c>
      <c r="O20" s="6" t="s">
        <v>31</v>
      </c>
      <c r="P20" s="6">
        <f>+VLOOKUP(O20,scoring!$U$10:$AA$105,4,FALSE)-72</f>
        <v>-1</v>
      </c>
      <c r="Q20" s="6" t="s">
        <v>26</v>
      </c>
      <c r="R20" s="6">
        <f>+VLOOKUP(Q20,scoring!$U$10:$AA$105,4,FALSE)-72</f>
        <v>9</v>
      </c>
      <c r="S20" s="6" t="s">
        <v>26</v>
      </c>
      <c r="T20" s="6">
        <f>+VLOOKUP(S20,scoring!$U$10:$AA$105,4,FALSE)-72</f>
        <v>9</v>
      </c>
      <c r="U20" s="6">
        <f t="shared" si="0"/>
        <v>-11</v>
      </c>
    </row>
    <row r="21" spans="1:21" ht="16" x14ac:dyDescent="0.2">
      <c r="A21" s="3">
        <v>19</v>
      </c>
      <c r="B21" s="4" t="s">
        <v>133</v>
      </c>
      <c r="C21" s="4" t="s">
        <v>134</v>
      </c>
      <c r="D21" s="4" t="s">
        <v>135</v>
      </c>
      <c r="E21" s="4" t="s">
        <v>43</v>
      </c>
      <c r="F21" s="4">
        <f>+VLOOKUP(E21,scoring!$U$10:$AA$105,4,FALSE)-72</f>
        <v>-6</v>
      </c>
      <c r="G21" s="4" t="s">
        <v>75</v>
      </c>
      <c r="H21" s="4">
        <f>+VLOOKUP(G21,scoring!$U$10:$AA$105,4,FALSE)-72</f>
        <v>0</v>
      </c>
      <c r="I21" s="4" t="s">
        <v>75</v>
      </c>
      <c r="J21" s="4">
        <f>+VLOOKUP(I21,scoring!$U$10:$AA$105,4,FALSE)-72</f>
        <v>0</v>
      </c>
      <c r="K21" s="4" t="s">
        <v>42</v>
      </c>
      <c r="L21" s="4">
        <f>+VLOOKUP(K21,scoring!$U$10:$AA$105,4,FALSE)-72</f>
        <v>4</v>
      </c>
      <c r="M21" s="4" t="s">
        <v>42</v>
      </c>
      <c r="N21" s="4">
        <f>+VLOOKUP(M21,scoring!$U$10:$AA$105,4,FALSE)-72</f>
        <v>4</v>
      </c>
      <c r="O21" s="4" t="s">
        <v>51</v>
      </c>
      <c r="P21" s="4">
        <f>+VLOOKUP(O21,scoring!$U$10:$AA$105,4,FALSE)-72</f>
        <v>-1</v>
      </c>
      <c r="Q21" s="4" t="s">
        <v>26</v>
      </c>
      <c r="R21" s="4">
        <f>+VLOOKUP(Q21,scoring!$U$10:$AA$105,4,FALSE)-72</f>
        <v>9</v>
      </c>
      <c r="S21" s="4" t="s">
        <v>26</v>
      </c>
      <c r="T21" s="4">
        <f>+VLOOKUP(S21,scoring!$U$10:$AA$105,4,FALSE)-72</f>
        <v>9</v>
      </c>
      <c r="U21" s="4">
        <f t="shared" si="0"/>
        <v>-7</v>
      </c>
    </row>
    <row r="22" spans="1:21" ht="16" x14ac:dyDescent="0.2">
      <c r="A22" s="5">
        <v>20</v>
      </c>
      <c r="B22" s="6" t="s">
        <v>132</v>
      </c>
      <c r="C22" s="6" t="s">
        <v>134</v>
      </c>
      <c r="D22" s="6" t="s">
        <v>136</v>
      </c>
      <c r="E22" s="6" t="s">
        <v>34</v>
      </c>
      <c r="F22" s="6">
        <f>+VLOOKUP(E22,scoring!$U$10:$AA$105,4,FALSE)-72</f>
        <v>-3</v>
      </c>
      <c r="G22" s="6" t="s">
        <v>34</v>
      </c>
      <c r="H22" s="6">
        <f>+VLOOKUP(G22,scoring!$U$10:$AA$105,4,FALSE)-72</f>
        <v>-3</v>
      </c>
      <c r="I22" s="6" t="s">
        <v>34</v>
      </c>
      <c r="J22" s="6">
        <f>+VLOOKUP(I22,scoring!$U$10:$AA$105,4,FALSE)-72</f>
        <v>-3</v>
      </c>
      <c r="K22" s="6" t="s">
        <v>54</v>
      </c>
      <c r="L22" s="6">
        <f>+VLOOKUP(K22,scoring!$U$10:$AA$105,4,FALSE)-72</f>
        <v>-4</v>
      </c>
      <c r="M22" s="6" t="s">
        <v>25</v>
      </c>
      <c r="N22" s="6">
        <f>+VLOOKUP(M22,scoring!$U$10:$AA$105,4,FALSE)-72</f>
        <v>-2</v>
      </c>
      <c r="O22" s="6" t="s">
        <v>26</v>
      </c>
      <c r="P22" s="6">
        <f>+VLOOKUP(O22,scoring!$U$10:$AA$105,4,FALSE)-72</f>
        <v>9</v>
      </c>
      <c r="Q22" s="6" t="s">
        <v>26</v>
      </c>
      <c r="R22" s="6">
        <f>+VLOOKUP(Q22,scoring!$U$10:$AA$105,4,FALSE)-72</f>
        <v>9</v>
      </c>
      <c r="S22" s="6" t="s">
        <v>26</v>
      </c>
      <c r="T22" s="6">
        <f>+VLOOKUP(S22,scoring!$U$10:$AA$105,4,FALSE)-72</f>
        <v>9</v>
      </c>
      <c r="U22" s="6">
        <f t="shared" si="0"/>
        <v>-10</v>
      </c>
    </row>
    <row r="23" spans="1:21" ht="16" x14ac:dyDescent="0.2">
      <c r="A23" s="3">
        <v>21</v>
      </c>
      <c r="B23" s="4" t="s">
        <v>137</v>
      </c>
      <c r="C23" s="4" t="s">
        <v>35</v>
      </c>
      <c r="D23" s="4" t="s">
        <v>36</v>
      </c>
      <c r="E23" s="4" t="s">
        <v>15</v>
      </c>
      <c r="F23" s="4">
        <f>+VLOOKUP(E23,scoring!$U$10:$AA$105,4,FALSE)-72</f>
        <v>1</v>
      </c>
      <c r="G23" s="4" t="s">
        <v>34</v>
      </c>
      <c r="H23" s="4">
        <f>+VLOOKUP(G23,scoring!$U$10:$AA$105,4,FALSE)-72</f>
        <v>-3</v>
      </c>
      <c r="I23" s="4" t="s">
        <v>54</v>
      </c>
      <c r="J23" s="4">
        <f>+VLOOKUP(I23,scoring!$U$10:$AA$105,4,FALSE)-72</f>
        <v>-4</v>
      </c>
      <c r="K23" s="4" t="s">
        <v>75</v>
      </c>
      <c r="L23" s="4">
        <f>+VLOOKUP(K23,scoring!$U$10:$AA$105,4,FALSE)-72</f>
        <v>0</v>
      </c>
      <c r="M23" s="4" t="s">
        <v>23</v>
      </c>
      <c r="N23" s="4">
        <f>+VLOOKUP(M23,scoring!$U$10:$AA$105,4,FALSE)-72</f>
        <v>6</v>
      </c>
      <c r="O23" s="4" t="s">
        <v>51</v>
      </c>
      <c r="P23" s="4">
        <f>+VLOOKUP(O23,scoring!$U$10:$AA$105,4,FALSE)-72</f>
        <v>-1</v>
      </c>
      <c r="Q23" s="4" t="s">
        <v>64</v>
      </c>
      <c r="R23" s="4">
        <f>+VLOOKUP(Q23,scoring!$U$10:$AA$105,4,FALSE)-72</f>
        <v>2</v>
      </c>
      <c r="S23" s="4" t="s">
        <v>64</v>
      </c>
      <c r="T23" s="4">
        <f>+VLOOKUP(S23,scoring!$U$10:$AA$105,4,FALSE)-72</f>
        <v>2</v>
      </c>
      <c r="U23" s="4">
        <f t="shared" si="0"/>
        <v>-8</v>
      </c>
    </row>
    <row r="24" spans="1:21" ht="16" x14ac:dyDescent="0.2">
      <c r="A24" s="5">
        <v>22</v>
      </c>
      <c r="B24" s="6" t="s">
        <v>138</v>
      </c>
      <c r="C24" s="6" t="s">
        <v>98</v>
      </c>
      <c r="D24" s="6" t="s">
        <v>99</v>
      </c>
      <c r="E24" s="6" t="s">
        <v>34</v>
      </c>
      <c r="F24" s="6">
        <f>+VLOOKUP(E24,scoring!$U$10:$AA$105,4,FALSE)-72</f>
        <v>-3</v>
      </c>
      <c r="G24" s="6" t="s">
        <v>37</v>
      </c>
      <c r="H24" s="6">
        <f>+VLOOKUP(G24,scoring!$U$10:$AA$105,4,FALSE)-72</f>
        <v>-4</v>
      </c>
      <c r="I24" s="6" t="s">
        <v>54</v>
      </c>
      <c r="J24" s="6">
        <f>+VLOOKUP(I24,scoring!$U$10:$AA$105,4,FALSE)-72</f>
        <v>-4</v>
      </c>
      <c r="K24" s="6" t="s">
        <v>44</v>
      </c>
      <c r="L24" s="6">
        <f>+VLOOKUP(K24,scoring!$U$10:$AA$105,4,FALSE)-72</f>
        <v>0</v>
      </c>
      <c r="M24" s="6" t="s">
        <v>75</v>
      </c>
      <c r="N24" s="6">
        <f>+VLOOKUP(M24,scoring!$U$10:$AA$105,4,FALSE)-72</f>
        <v>0</v>
      </c>
      <c r="O24" s="6" t="s">
        <v>38</v>
      </c>
      <c r="P24" s="6">
        <f>+VLOOKUP(O24,scoring!$U$10:$AA$105,4,FALSE)-72</f>
        <v>-2</v>
      </c>
      <c r="Q24" s="6" t="s">
        <v>22</v>
      </c>
      <c r="R24" s="6">
        <f>+VLOOKUP(Q24,scoring!$U$10:$AA$105,4,FALSE)-72</f>
        <v>1</v>
      </c>
      <c r="S24" s="6" t="s">
        <v>50</v>
      </c>
      <c r="T24" s="6">
        <f>+VLOOKUP(S24,scoring!$U$10:$AA$105,4,FALSE)-72</f>
        <v>-2</v>
      </c>
      <c r="U24" s="6">
        <f t="shared" si="0"/>
        <v>-11</v>
      </c>
    </row>
    <row r="25" spans="1:21" ht="16" x14ac:dyDescent="0.2">
      <c r="A25" s="3">
        <v>23</v>
      </c>
      <c r="B25" s="4" t="s">
        <v>139</v>
      </c>
      <c r="C25" s="4" t="s">
        <v>141</v>
      </c>
      <c r="D25" s="4" t="s">
        <v>142</v>
      </c>
      <c r="E25" s="4" t="s">
        <v>15</v>
      </c>
      <c r="F25" s="4">
        <f>+VLOOKUP(E25,scoring!$U$10:$AA$105,4,FALSE)-72</f>
        <v>1</v>
      </c>
      <c r="G25" s="4" t="s">
        <v>15</v>
      </c>
      <c r="H25" s="4">
        <f>+VLOOKUP(G25,scoring!$U$10:$AA$105,4,FALSE)-72</f>
        <v>1</v>
      </c>
      <c r="I25" s="4" t="s">
        <v>15</v>
      </c>
      <c r="J25" s="4">
        <f>+VLOOKUP(I25,scoring!$U$10:$AA$105,4,FALSE)-72</f>
        <v>1</v>
      </c>
      <c r="K25" s="4" t="s">
        <v>23</v>
      </c>
      <c r="L25" s="4">
        <f>+VLOOKUP(K25,scoring!$U$10:$AA$105,4,FALSE)-72</f>
        <v>6</v>
      </c>
      <c r="M25" s="4" t="s">
        <v>38</v>
      </c>
      <c r="N25" s="4">
        <f>+VLOOKUP(M25,scoring!$U$10:$AA$105,4,FALSE)-72</f>
        <v>-2</v>
      </c>
      <c r="O25" s="4" t="s">
        <v>26</v>
      </c>
      <c r="P25" s="4">
        <f>+VLOOKUP(O25,scoring!$U$10:$AA$105,4,FALSE)-72</f>
        <v>9</v>
      </c>
      <c r="Q25" s="4" t="s">
        <v>26</v>
      </c>
      <c r="R25" s="4">
        <f>+VLOOKUP(Q25,scoring!$U$10:$AA$105,4,FALSE)-72</f>
        <v>9</v>
      </c>
      <c r="S25" s="4" t="s">
        <v>26</v>
      </c>
      <c r="T25" s="4">
        <f>+VLOOKUP(S25,scoring!$U$10:$AA$105,4,FALSE)-72</f>
        <v>9</v>
      </c>
      <c r="U25" s="4">
        <f t="shared" si="0"/>
        <v>0</v>
      </c>
    </row>
    <row r="26" spans="1:21" ht="16" x14ac:dyDescent="0.2">
      <c r="A26" s="5">
        <v>24</v>
      </c>
      <c r="B26" s="6" t="s">
        <v>140</v>
      </c>
      <c r="C26" s="6" t="s">
        <v>141</v>
      </c>
      <c r="D26" s="6" t="s">
        <v>143</v>
      </c>
      <c r="E26" s="6" t="s">
        <v>43</v>
      </c>
      <c r="F26" s="6">
        <f>+VLOOKUP(E26,scoring!$U$10:$AA$105,4,FALSE)-72</f>
        <v>-6</v>
      </c>
      <c r="G26" s="6" t="s">
        <v>14</v>
      </c>
      <c r="H26" s="6">
        <f>+VLOOKUP(G26,scoring!$U$10:$AA$105,4,FALSE)-72</f>
        <v>2</v>
      </c>
      <c r="I26" s="6" t="s">
        <v>20</v>
      </c>
      <c r="J26" s="6">
        <f>+VLOOKUP(I26,scoring!$U$10:$AA$105,4,FALSE)-72</f>
        <v>3</v>
      </c>
      <c r="K26" s="6" t="s">
        <v>61</v>
      </c>
      <c r="L26" s="6">
        <f>+VLOOKUP(K26,scoring!$U$10:$AA$105,4,FALSE)-72</f>
        <v>0</v>
      </c>
      <c r="M26" s="6" t="s">
        <v>26</v>
      </c>
      <c r="N26" s="6">
        <f>+VLOOKUP(M26,scoring!$U$10:$AA$105,4,FALSE)-72</f>
        <v>9</v>
      </c>
      <c r="O26" s="6" t="s">
        <v>26</v>
      </c>
      <c r="P26" s="6">
        <f>+VLOOKUP(O26,scoring!$U$10:$AA$105,4,FALSE)-72</f>
        <v>9</v>
      </c>
      <c r="Q26" s="6" t="s">
        <v>26</v>
      </c>
      <c r="R26" s="6">
        <f>+VLOOKUP(Q26,scoring!$U$10:$AA$105,4,FALSE)-72</f>
        <v>9</v>
      </c>
      <c r="S26" s="6" t="s">
        <v>26</v>
      </c>
      <c r="T26" s="6">
        <f>+VLOOKUP(S26,scoring!$U$10:$AA$105,4,FALSE)-72</f>
        <v>9</v>
      </c>
      <c r="U26" s="6">
        <f t="shared" si="0"/>
        <v>-4</v>
      </c>
    </row>
    <row r="27" spans="1:21" ht="16" x14ac:dyDescent="0.2">
      <c r="A27" s="3">
        <v>25</v>
      </c>
      <c r="B27" s="4" t="s">
        <v>144</v>
      </c>
      <c r="C27" s="4" t="s">
        <v>48</v>
      </c>
      <c r="D27" s="4" t="s">
        <v>49</v>
      </c>
      <c r="E27" s="4" t="s">
        <v>27</v>
      </c>
      <c r="F27" s="4">
        <f>+VLOOKUP(E27,scoring!$U$10:$AA$105,4,FALSE)-72</f>
        <v>-3</v>
      </c>
      <c r="G27" s="4" t="s">
        <v>33</v>
      </c>
      <c r="H27" s="4">
        <f>+VLOOKUP(G27,scoring!$U$10:$AA$105,4,FALSE)-72</f>
        <v>-1</v>
      </c>
      <c r="I27" s="4" t="s">
        <v>41</v>
      </c>
      <c r="J27" s="4">
        <f>+VLOOKUP(I27,scoring!$U$10:$AA$105,4,FALSE)-72</f>
        <v>-4</v>
      </c>
      <c r="K27" s="4" t="s">
        <v>75</v>
      </c>
      <c r="L27" s="4">
        <f>+VLOOKUP(K27,scoring!$U$10:$AA$105,4,FALSE)-72</f>
        <v>0</v>
      </c>
      <c r="M27" s="4" t="s">
        <v>34</v>
      </c>
      <c r="N27" s="4">
        <f>+VLOOKUP(M27,scoring!$U$10:$AA$105,4,FALSE)-72</f>
        <v>-3</v>
      </c>
      <c r="O27" s="4" t="s">
        <v>16</v>
      </c>
      <c r="P27" s="4">
        <f>+VLOOKUP(O27,scoring!$U$10:$AA$105,4,FALSE)-72</f>
        <v>1</v>
      </c>
      <c r="Q27" s="4" t="s">
        <v>168</v>
      </c>
      <c r="R27" s="4">
        <f>+VLOOKUP(Q27,scoring!$U$10:$AA$105,4,FALSE)-72</f>
        <v>0</v>
      </c>
      <c r="S27" s="4" t="s">
        <v>26</v>
      </c>
      <c r="T27" s="4">
        <f>+VLOOKUP(S27,scoring!$U$10:$AA$105,4,FALSE)-72</f>
        <v>9</v>
      </c>
      <c r="U27" s="4">
        <f t="shared" si="0"/>
        <v>-10</v>
      </c>
    </row>
    <row r="28" spans="1:21" ht="16" x14ac:dyDescent="0.2">
      <c r="A28" s="5">
        <v>26</v>
      </c>
      <c r="B28" s="6" t="s">
        <v>145</v>
      </c>
      <c r="C28" s="6" t="s">
        <v>67</v>
      </c>
      <c r="D28" s="6" t="s">
        <v>68</v>
      </c>
      <c r="E28" s="6" t="s">
        <v>69</v>
      </c>
      <c r="F28" s="6">
        <f>+VLOOKUP(E28,scoring!$U$10:$AA$105,4,FALSE)-72</f>
        <v>-1</v>
      </c>
      <c r="G28" s="6" t="s">
        <v>15</v>
      </c>
      <c r="H28" s="6">
        <f>+VLOOKUP(G28,scoring!$U$10:$AA$105,4,FALSE)-72</f>
        <v>1</v>
      </c>
      <c r="I28" s="6" t="s">
        <v>37</v>
      </c>
      <c r="J28" s="6">
        <f>+VLOOKUP(I28,scoring!$U$10:$AA$105,4,FALSE)-72</f>
        <v>-4</v>
      </c>
      <c r="K28" s="6" t="s">
        <v>20</v>
      </c>
      <c r="L28" s="6">
        <f>+VLOOKUP(K28,scoring!$U$10:$AA$105,4,FALSE)-72</f>
        <v>3</v>
      </c>
      <c r="M28" s="6" t="s">
        <v>23</v>
      </c>
      <c r="N28" s="6">
        <f>+VLOOKUP(M28,scoring!$U$10:$AA$105,4,FALSE)-72</f>
        <v>6</v>
      </c>
      <c r="O28" s="6" t="s">
        <v>26</v>
      </c>
      <c r="P28" s="6">
        <f>+VLOOKUP(O28,scoring!$U$10:$AA$105,4,FALSE)-72</f>
        <v>9</v>
      </c>
      <c r="Q28" s="6" t="s">
        <v>26</v>
      </c>
      <c r="R28" s="6">
        <f>+VLOOKUP(Q28,scoring!$U$10:$AA$105,4,FALSE)-72</f>
        <v>9</v>
      </c>
      <c r="S28" s="6" t="s">
        <v>26</v>
      </c>
      <c r="T28" s="6">
        <f>+VLOOKUP(S28,scoring!$U$10:$AA$105,4,FALSE)-72</f>
        <v>9</v>
      </c>
      <c r="U28" s="6">
        <f t="shared" si="0"/>
        <v>-4</v>
      </c>
    </row>
    <row r="29" spans="1:21" ht="16" x14ac:dyDescent="0.2">
      <c r="A29" s="3">
        <v>27</v>
      </c>
      <c r="B29" s="4" t="s">
        <v>147</v>
      </c>
      <c r="C29" s="4" t="s">
        <v>86</v>
      </c>
      <c r="D29" s="4" t="s">
        <v>57</v>
      </c>
      <c r="E29" s="4" t="s">
        <v>55</v>
      </c>
      <c r="F29" s="4">
        <f>+VLOOKUP(E29,scoring!$U$10:$AA$105,4,FALSE)-72</f>
        <v>-1</v>
      </c>
      <c r="G29" s="4" t="s">
        <v>55</v>
      </c>
      <c r="H29" s="4">
        <f>+VLOOKUP(G29,scoring!$U$10:$AA$105,4,FALSE)-72</f>
        <v>-1</v>
      </c>
      <c r="I29" s="4" t="s">
        <v>54</v>
      </c>
      <c r="J29" s="4">
        <f>+VLOOKUP(I29,scoring!$U$10:$AA$105,4,FALSE)-72</f>
        <v>-4</v>
      </c>
      <c r="K29" s="4" t="s">
        <v>43</v>
      </c>
      <c r="L29" s="4">
        <f>+VLOOKUP(K29,scoring!$U$10:$AA$105,4,FALSE)-72</f>
        <v>-6</v>
      </c>
      <c r="M29" s="4" t="s">
        <v>75</v>
      </c>
      <c r="N29" s="4">
        <f>+VLOOKUP(M29,scoring!$U$10:$AA$105,4,FALSE)-72</f>
        <v>0</v>
      </c>
      <c r="O29" s="4" t="s">
        <v>55</v>
      </c>
      <c r="P29" s="4">
        <f>+VLOOKUP(O29,scoring!$U$10:$AA$105,4,FALSE)-72</f>
        <v>-1</v>
      </c>
      <c r="Q29" s="4" t="s">
        <v>26</v>
      </c>
      <c r="R29" s="4">
        <f>+VLOOKUP(Q29,scoring!$U$10:$AA$105,4,FALSE)-72</f>
        <v>9</v>
      </c>
      <c r="S29" s="4" t="s">
        <v>26</v>
      </c>
      <c r="T29" s="4">
        <f>+VLOOKUP(S29,scoring!$U$10:$AA$105,4,FALSE)-72</f>
        <v>9</v>
      </c>
      <c r="U29" s="4">
        <f t="shared" si="0"/>
        <v>-11</v>
      </c>
    </row>
    <row r="30" spans="1:21" ht="16" x14ac:dyDescent="0.2">
      <c r="A30" s="5">
        <v>28</v>
      </c>
      <c r="B30" s="6" t="s">
        <v>148</v>
      </c>
      <c r="C30" s="6" t="s">
        <v>82</v>
      </c>
      <c r="D30" s="6" t="s">
        <v>83</v>
      </c>
      <c r="E30" s="6" t="s">
        <v>34</v>
      </c>
      <c r="F30" s="6">
        <f>+VLOOKUP(E30,scoring!$U$10:$AA$105,4,FALSE)-72</f>
        <v>-3</v>
      </c>
      <c r="G30" s="6" t="s">
        <v>34</v>
      </c>
      <c r="H30" s="6">
        <f>+VLOOKUP(G30,scoring!$U$10:$AA$105,4,FALSE)-72</f>
        <v>-3</v>
      </c>
      <c r="I30" s="6" t="s">
        <v>47</v>
      </c>
      <c r="J30" s="6">
        <f>+VLOOKUP(I30,scoring!$U$10:$AA$105,4,FALSE)-72</f>
        <v>-4</v>
      </c>
      <c r="K30" s="6" t="s">
        <v>44</v>
      </c>
      <c r="L30" s="6">
        <f>+VLOOKUP(K30,scoring!$U$10:$AA$105,4,FALSE)-72</f>
        <v>0</v>
      </c>
      <c r="M30" s="6" t="s">
        <v>94</v>
      </c>
      <c r="N30" s="6">
        <f>+VLOOKUP(M30,scoring!$U$10:$AA$105,4,FALSE)-72</f>
        <v>-1</v>
      </c>
      <c r="O30" s="6" t="s">
        <v>178</v>
      </c>
      <c r="P30" s="6">
        <f>+VLOOKUP(O30,scoring!$U$10:$AA$105,4,FALSE)-72</f>
        <v>4</v>
      </c>
      <c r="Q30" s="6" t="s">
        <v>26</v>
      </c>
      <c r="R30" s="6">
        <f>+VLOOKUP(Q30,scoring!$U$10:$AA$105,4,FALSE)-72</f>
        <v>9</v>
      </c>
      <c r="S30" s="6" t="s">
        <v>26</v>
      </c>
      <c r="T30" s="6">
        <f>+VLOOKUP(S30,scoring!$U$10:$AA$105,4,FALSE)-72</f>
        <v>9</v>
      </c>
      <c r="U30" s="6">
        <f t="shared" si="0"/>
        <v>-10</v>
      </c>
    </row>
    <row r="31" spans="1:21" ht="16" x14ac:dyDescent="0.2">
      <c r="A31" s="3">
        <v>29</v>
      </c>
      <c r="B31" s="4" t="s">
        <v>149</v>
      </c>
      <c r="C31" s="4" t="s">
        <v>150</v>
      </c>
      <c r="D31" s="4" t="s">
        <v>151</v>
      </c>
      <c r="E31" s="4" t="s">
        <v>47</v>
      </c>
      <c r="F31" s="4">
        <f>+VLOOKUP(E31,scoring!$U$10:$AA$105,4,FALSE)-72</f>
        <v>-4</v>
      </c>
      <c r="G31" s="4" t="s">
        <v>47</v>
      </c>
      <c r="H31" s="4">
        <f>+VLOOKUP(G31,scoring!$U$10:$AA$105,4,FALSE)-72</f>
        <v>-4</v>
      </c>
      <c r="I31" s="4" t="s">
        <v>14</v>
      </c>
      <c r="J31" s="4">
        <f>+VLOOKUP(I31,scoring!$U$10:$AA$105,4,FALSE)-72</f>
        <v>2</v>
      </c>
      <c r="K31" s="4" t="s">
        <v>14</v>
      </c>
      <c r="L31" s="4">
        <f>+VLOOKUP(K31,scoring!$U$10:$AA$105,4,FALSE)-72</f>
        <v>2</v>
      </c>
      <c r="M31" s="4" t="s">
        <v>165</v>
      </c>
      <c r="N31" s="4">
        <f>+VLOOKUP(M31,scoring!$U$10:$AA$105,4,FALSE)-72</f>
        <v>3</v>
      </c>
      <c r="O31" s="4" t="s">
        <v>165</v>
      </c>
      <c r="P31" s="4">
        <f>+VLOOKUP(O31,scoring!$U$10:$AA$105,4,FALSE)-72</f>
        <v>3</v>
      </c>
      <c r="Q31" s="4" t="s">
        <v>26</v>
      </c>
      <c r="R31" s="4">
        <f>+VLOOKUP(Q31,scoring!$U$10:$AA$105,4,FALSE)-72</f>
        <v>9</v>
      </c>
      <c r="S31" s="4" t="s">
        <v>26</v>
      </c>
      <c r="T31" s="4">
        <f>+VLOOKUP(S31,scoring!$U$10:$AA$105,4,FALSE)-72</f>
        <v>9</v>
      </c>
      <c r="U31" s="4">
        <f t="shared" si="0"/>
        <v>-6</v>
      </c>
    </row>
    <row r="32" spans="1:21" ht="16" x14ac:dyDescent="0.2">
      <c r="A32" s="5">
        <v>30</v>
      </c>
      <c r="B32" s="6" t="s">
        <v>152</v>
      </c>
      <c r="C32" s="6" t="s">
        <v>52</v>
      </c>
      <c r="D32" s="6" t="s">
        <v>53</v>
      </c>
      <c r="E32" s="6" t="s">
        <v>16</v>
      </c>
      <c r="F32" s="6">
        <f>+VLOOKUP(E32,scoring!$U$10:$AA$105,4,FALSE)-72</f>
        <v>1</v>
      </c>
      <c r="G32" s="6" t="s">
        <v>180</v>
      </c>
      <c r="H32" s="6">
        <f>+VLOOKUP(G32,scoring!$U$10:$AA$105,4,FALSE)-72</f>
        <v>2</v>
      </c>
      <c r="I32" s="6" t="s">
        <v>54</v>
      </c>
      <c r="J32" s="6">
        <f>+VLOOKUP(I32,scoring!$U$10:$AA$105,4,FALSE)-72</f>
        <v>-4</v>
      </c>
      <c r="K32" s="6" t="s">
        <v>32</v>
      </c>
      <c r="L32" s="6">
        <f>+VLOOKUP(K32,scoring!$U$10:$AA$105,4,FALSE)-72</f>
        <v>-3</v>
      </c>
      <c r="M32" s="6" t="s">
        <v>32</v>
      </c>
      <c r="N32" s="6">
        <f>+VLOOKUP(M32,scoring!$U$10:$AA$105,4,FALSE)-72</f>
        <v>-3</v>
      </c>
      <c r="O32" s="6" t="s">
        <v>94</v>
      </c>
      <c r="P32" s="6">
        <f>+VLOOKUP(O32,scoring!$U$10:$AA$105,4,FALSE)-72</f>
        <v>-1</v>
      </c>
      <c r="Q32" s="6" t="s">
        <v>15</v>
      </c>
      <c r="R32" s="6">
        <f>+VLOOKUP(Q32,scoring!$U$10:$AA$105,4,FALSE)-72</f>
        <v>1</v>
      </c>
      <c r="S32" s="6" t="s">
        <v>33</v>
      </c>
      <c r="T32" s="6">
        <f>+VLOOKUP(S32,scoring!$U$10:$AA$105,4,FALSE)-72</f>
        <v>-1</v>
      </c>
      <c r="U32" s="6">
        <f t="shared" si="0"/>
        <v>-10</v>
      </c>
    </row>
    <row r="33" spans="1:21" ht="16" x14ac:dyDescent="0.2">
      <c r="A33" s="3">
        <v>31</v>
      </c>
      <c r="B33" s="4" t="s">
        <v>91</v>
      </c>
      <c r="C33" s="4" t="s">
        <v>92</v>
      </c>
      <c r="D33" s="4" t="s">
        <v>93</v>
      </c>
      <c r="E33" s="4" t="s">
        <v>34</v>
      </c>
      <c r="F33" s="4">
        <f>+VLOOKUP(E33,scoring!$U$10:$AA$105,4,FALSE)-72</f>
        <v>-3</v>
      </c>
      <c r="G33" s="4" t="s">
        <v>27</v>
      </c>
      <c r="H33" s="4">
        <f>+VLOOKUP(G33,scoring!$U$10:$AA$105,4,FALSE)-72</f>
        <v>-3</v>
      </c>
      <c r="I33" s="4" t="s">
        <v>20</v>
      </c>
      <c r="J33" s="4">
        <f>+VLOOKUP(I33,scoring!$U$10:$AA$105,4,FALSE)-72</f>
        <v>3</v>
      </c>
      <c r="K33" s="4" t="s">
        <v>74</v>
      </c>
      <c r="L33" s="4">
        <f>+VLOOKUP(K33,scoring!$U$10:$AA$105,4,FALSE)-72</f>
        <v>1</v>
      </c>
      <c r="M33" s="4" t="s">
        <v>37</v>
      </c>
      <c r="N33" s="4">
        <f>+VLOOKUP(M33,scoring!$U$10:$AA$105,4,FALSE)-72</f>
        <v>-4</v>
      </c>
      <c r="O33" s="4" t="s">
        <v>179</v>
      </c>
      <c r="P33" s="4">
        <f>+VLOOKUP(O33,scoring!$U$10:$AA$105,4,FALSE)-72</f>
        <v>1</v>
      </c>
      <c r="Q33" s="4" t="s">
        <v>26</v>
      </c>
      <c r="R33" s="4">
        <f>+VLOOKUP(Q33,scoring!$U$10:$AA$105,4,FALSE)-72</f>
        <v>9</v>
      </c>
      <c r="S33" s="4" t="s">
        <v>26</v>
      </c>
      <c r="T33" s="4">
        <f>+VLOOKUP(S33,scoring!$U$10:$AA$105,4,FALSE)-72</f>
        <v>9</v>
      </c>
      <c r="U33" s="4">
        <f t="shared" si="0"/>
        <v>-10</v>
      </c>
    </row>
    <row r="34" spans="1:21" ht="16" x14ac:dyDescent="0.2">
      <c r="A34" s="5">
        <v>32</v>
      </c>
      <c r="B34" s="6" t="s">
        <v>153</v>
      </c>
      <c r="C34" s="6" t="s">
        <v>89</v>
      </c>
      <c r="D34" s="6" t="s">
        <v>90</v>
      </c>
      <c r="E34" s="6" t="s">
        <v>34</v>
      </c>
      <c r="F34" s="6">
        <f>+VLOOKUP(E34,scoring!$U$10:$AA$105,4,FALSE)-72</f>
        <v>-3</v>
      </c>
      <c r="G34" s="6" t="s">
        <v>32</v>
      </c>
      <c r="H34" s="6">
        <f>+VLOOKUP(G34,scoring!$U$10:$AA$105,4,FALSE)-72</f>
        <v>-3</v>
      </c>
      <c r="I34" s="6" t="s">
        <v>41</v>
      </c>
      <c r="J34" s="6">
        <f>+VLOOKUP(I34,scoring!$U$10:$AA$105,4,FALSE)-72</f>
        <v>-4</v>
      </c>
      <c r="K34" s="6" t="s">
        <v>94</v>
      </c>
      <c r="L34" s="6">
        <f>+VLOOKUP(K34,scoring!$U$10:$AA$105,4,FALSE)-72</f>
        <v>-1</v>
      </c>
      <c r="M34" s="6" t="s">
        <v>28</v>
      </c>
      <c r="N34" s="6">
        <f>+VLOOKUP(M34,scoring!$U$10:$AA$105,4,FALSE)-72</f>
        <v>0</v>
      </c>
      <c r="O34" s="6" t="s">
        <v>169</v>
      </c>
      <c r="P34" s="6">
        <f>+VLOOKUP(O34,scoring!$U$10:$AA$105,4,FALSE)-72</f>
        <v>-1</v>
      </c>
      <c r="Q34" s="6" t="s">
        <v>34</v>
      </c>
      <c r="R34" s="6">
        <f>+VLOOKUP(Q34,scoring!$U$10:$AA$105,4,FALSE)-72</f>
        <v>-3</v>
      </c>
      <c r="S34" s="6" t="s">
        <v>94</v>
      </c>
      <c r="T34" s="6">
        <f>+VLOOKUP(S34,scoring!$U$10:$AA$105,4,FALSE)-72</f>
        <v>-1</v>
      </c>
      <c r="U34" s="6">
        <f t="shared" si="0"/>
        <v>-10</v>
      </c>
    </row>
    <row r="35" spans="1:21" ht="16" x14ac:dyDescent="0.2">
      <c r="A35" s="3">
        <v>33</v>
      </c>
      <c r="B35" s="4" t="s">
        <v>159</v>
      </c>
      <c r="C35" s="4" t="s">
        <v>154</v>
      </c>
      <c r="D35" s="4" t="s">
        <v>155</v>
      </c>
      <c r="E35" s="4" t="s">
        <v>15</v>
      </c>
      <c r="F35" s="4">
        <f>+VLOOKUP(E35,scoring!$U$10:$AA$105,4,FALSE)-72</f>
        <v>1</v>
      </c>
      <c r="G35" s="4" t="s">
        <v>15</v>
      </c>
      <c r="H35" s="4">
        <f>+VLOOKUP(G35,scoring!$U$10:$AA$105,4,FALSE)-72</f>
        <v>1</v>
      </c>
      <c r="I35" s="4" t="s">
        <v>51</v>
      </c>
      <c r="J35" s="4">
        <f>+VLOOKUP(I35,scoring!$U$10:$AA$105,4,FALSE)-72</f>
        <v>-1</v>
      </c>
      <c r="K35" s="4" t="s">
        <v>29</v>
      </c>
      <c r="L35" s="4">
        <f>+VLOOKUP(K35,scoring!$U$10:$AA$105,4,FALSE)-72</f>
        <v>-2</v>
      </c>
      <c r="M35" s="4" t="s">
        <v>33</v>
      </c>
      <c r="N35" s="4">
        <f>+VLOOKUP(M35,scoring!$U$10:$AA$105,4,FALSE)-72</f>
        <v>-1</v>
      </c>
      <c r="O35" s="4" t="s">
        <v>167</v>
      </c>
      <c r="P35" s="4">
        <f>+VLOOKUP(O35,scoring!$U$10:$AA$105,4,FALSE)-72</f>
        <v>0</v>
      </c>
      <c r="Q35" s="4" t="s">
        <v>88</v>
      </c>
      <c r="R35" s="4">
        <f>+VLOOKUP(Q35,scoring!$U$10:$AA$105,4,FALSE)-72</f>
        <v>0</v>
      </c>
      <c r="S35" s="4" t="s">
        <v>22</v>
      </c>
      <c r="T35" s="4">
        <f>+VLOOKUP(S35,scoring!$U$10:$AA$105,4,FALSE)-72</f>
        <v>1</v>
      </c>
      <c r="U35" s="4">
        <f t="shared" si="0"/>
        <v>-4</v>
      </c>
    </row>
    <row r="36" spans="1:21" ht="16" x14ac:dyDescent="0.2">
      <c r="A36" s="5">
        <v>34</v>
      </c>
      <c r="B36" s="6" t="s">
        <v>162</v>
      </c>
      <c r="C36" s="6" t="s">
        <v>156</v>
      </c>
      <c r="D36" s="6" t="s">
        <v>99</v>
      </c>
      <c r="E36" s="6" t="s">
        <v>69</v>
      </c>
      <c r="F36" s="6">
        <f>+VLOOKUP(E36,scoring!$U$10:$AA$105,4,FALSE)-72</f>
        <v>-1</v>
      </c>
      <c r="G36" s="6" t="s">
        <v>75</v>
      </c>
      <c r="H36" s="6">
        <f>+VLOOKUP(G36,scoring!$U$10:$AA$105,4,FALSE)-72</f>
        <v>0</v>
      </c>
      <c r="I36" s="6" t="s">
        <v>50</v>
      </c>
      <c r="J36" s="6">
        <f>+VLOOKUP(I36,scoring!$U$10:$AA$105,4,FALSE)-72</f>
        <v>-2</v>
      </c>
      <c r="K36" s="6" t="s">
        <v>27</v>
      </c>
      <c r="L36" s="6">
        <f>+VLOOKUP(K36,scoring!$U$10:$AA$105,4,FALSE)-72</f>
        <v>-3</v>
      </c>
      <c r="M36" s="6" t="s">
        <v>22</v>
      </c>
      <c r="N36" s="6">
        <f>+VLOOKUP(M36,scoring!$U$10:$AA$105,4,FALSE)-72</f>
        <v>1</v>
      </c>
      <c r="O36" s="6" t="s">
        <v>32</v>
      </c>
      <c r="P36" s="6">
        <f>+VLOOKUP(O36,scoring!$U$10:$AA$105,4,FALSE)-72</f>
        <v>-3</v>
      </c>
      <c r="Q36" s="6" t="s">
        <v>28</v>
      </c>
      <c r="R36" s="6">
        <f>+VLOOKUP(Q36,scoring!$U$10:$AA$105,4,FALSE)-72</f>
        <v>0</v>
      </c>
      <c r="S36" s="6" t="s">
        <v>168</v>
      </c>
      <c r="T36" s="6">
        <f>+VLOOKUP(S36,scoring!$U$10:$AA$105,4,FALSE)-72</f>
        <v>0</v>
      </c>
      <c r="U36" s="6">
        <f t="shared" si="0"/>
        <v>-8</v>
      </c>
    </row>
    <row r="37" spans="1:21" ht="16" x14ac:dyDescent="0.2">
      <c r="A37" s="3">
        <v>35</v>
      </c>
      <c r="B37" s="4" t="s">
        <v>163</v>
      </c>
      <c r="C37" s="4" t="s">
        <v>72</v>
      </c>
      <c r="D37" s="4" t="s">
        <v>73</v>
      </c>
      <c r="E37" s="4" t="s">
        <v>14</v>
      </c>
      <c r="F37" s="4">
        <f>+VLOOKUP(E37,scoring!$U$10:$AA$105,4,FALSE)-72</f>
        <v>2</v>
      </c>
      <c r="G37" s="4" t="s">
        <v>14</v>
      </c>
      <c r="H37" s="4">
        <f>+VLOOKUP(G37,scoring!$U$10:$AA$105,4,FALSE)-72</f>
        <v>2</v>
      </c>
      <c r="I37" s="4" t="s">
        <v>34</v>
      </c>
      <c r="J37" s="4">
        <f>+VLOOKUP(I37,scoring!$U$10:$AA$105,4,FALSE)-72</f>
        <v>-3</v>
      </c>
      <c r="K37" s="4" t="s">
        <v>34</v>
      </c>
      <c r="L37" s="4">
        <f>+VLOOKUP(K37,scoring!$U$10:$AA$105,4,FALSE)-72</f>
        <v>-3</v>
      </c>
      <c r="M37" s="4" t="s">
        <v>75</v>
      </c>
      <c r="N37" s="4">
        <f>+VLOOKUP(M37,scoring!$U$10:$AA$105,4,FALSE)-72</f>
        <v>0</v>
      </c>
      <c r="O37" s="4" t="s">
        <v>25</v>
      </c>
      <c r="P37" s="4">
        <f>+VLOOKUP(O37,scoring!$U$10:$AA$105,4,FALSE)-72</f>
        <v>-2</v>
      </c>
      <c r="Q37" s="4" t="s">
        <v>26</v>
      </c>
      <c r="R37" s="4">
        <f>+VLOOKUP(Q37,scoring!$U$10:$AA$105,4,FALSE)-72</f>
        <v>9</v>
      </c>
      <c r="S37" s="4" t="s">
        <v>26</v>
      </c>
      <c r="T37" s="4">
        <f>+VLOOKUP(S37,scoring!$U$10:$AA$105,4,FALSE)-72</f>
        <v>9</v>
      </c>
      <c r="U37" s="4">
        <f t="shared" si="0"/>
        <v>-8</v>
      </c>
    </row>
    <row r="38" spans="1:21" ht="16" x14ac:dyDescent="0.2">
      <c r="A38" s="5">
        <v>36</v>
      </c>
      <c r="B38" s="6" t="s">
        <v>101</v>
      </c>
      <c r="C38" s="6" t="s">
        <v>102</v>
      </c>
      <c r="D38" s="6" t="s">
        <v>103</v>
      </c>
      <c r="E38" s="6" t="s">
        <v>43</v>
      </c>
      <c r="F38" s="6">
        <f>+VLOOKUP(E38,scoring!$U$10:$AA$105,4,FALSE)-72</f>
        <v>-6</v>
      </c>
      <c r="G38" s="6" t="s">
        <v>15</v>
      </c>
      <c r="H38" s="6">
        <f>+VLOOKUP(G38,scoring!$U$10:$AA$105,4,FALSE)-72</f>
        <v>1</v>
      </c>
      <c r="I38" s="6" t="s">
        <v>166</v>
      </c>
      <c r="J38" s="6">
        <f>+VLOOKUP(I38,scoring!$U$10:$AA$105,4,FALSE)-72</f>
        <v>1</v>
      </c>
      <c r="K38" s="6" t="s">
        <v>170</v>
      </c>
      <c r="L38" s="6">
        <f>+VLOOKUP(K38,scoring!$U$10:$AA$105,4,FALSE)-72</f>
        <v>1</v>
      </c>
      <c r="M38" s="6" t="s">
        <v>26</v>
      </c>
      <c r="N38" s="6">
        <f>+VLOOKUP(M38,scoring!$U$10:$AA$105,4,FALSE)-72</f>
        <v>9</v>
      </c>
      <c r="O38" s="6" t="s">
        <v>26</v>
      </c>
      <c r="P38" s="6">
        <f>+VLOOKUP(O38,scoring!$U$10:$AA$105,4,FALSE)-72</f>
        <v>9</v>
      </c>
      <c r="Q38" s="6" t="s">
        <v>26</v>
      </c>
      <c r="R38" s="6">
        <f>+VLOOKUP(Q38,scoring!$U$10:$AA$105,4,FALSE)-72</f>
        <v>9</v>
      </c>
      <c r="S38" s="6" t="s">
        <v>26</v>
      </c>
      <c r="T38" s="6">
        <f>+VLOOKUP(S38,scoring!$U$10:$AA$105,4,FALSE)-72</f>
        <v>9</v>
      </c>
      <c r="U38" s="6">
        <f t="shared" si="0"/>
        <v>-4</v>
      </c>
    </row>
    <row r="39" spans="1:21" ht="16" x14ac:dyDescent="0.2">
      <c r="A39" s="3">
        <v>37</v>
      </c>
      <c r="B39" s="4" t="s">
        <v>160</v>
      </c>
      <c r="C39" s="4" t="s">
        <v>157</v>
      </c>
      <c r="D39" s="4" t="s">
        <v>158</v>
      </c>
      <c r="E39" s="4" t="s">
        <v>43</v>
      </c>
      <c r="F39" s="4">
        <f>+VLOOKUP(E39,scoring!$U$10:$AA$105,4,FALSE)-72</f>
        <v>-6</v>
      </c>
      <c r="G39" s="4" t="s">
        <v>58</v>
      </c>
      <c r="H39" s="4">
        <f>+VLOOKUP(G39,scoring!$U$10:$AA$105,4,FALSE)-72</f>
        <v>-3</v>
      </c>
      <c r="I39" s="4" t="s">
        <v>54</v>
      </c>
      <c r="J39" s="4">
        <f>+VLOOKUP(I39,scoring!$U$10:$AA$105,4,FALSE)-72</f>
        <v>-4</v>
      </c>
      <c r="K39" s="4" t="s">
        <v>22</v>
      </c>
      <c r="L39" s="4">
        <f>+VLOOKUP(K39,scoring!$U$10:$AA$105,4,FALSE)-72</f>
        <v>1</v>
      </c>
      <c r="M39" s="4" t="s">
        <v>168</v>
      </c>
      <c r="N39" s="4">
        <f>+VLOOKUP(M39,scoring!$U$10:$AA$105,4,FALSE)-72</f>
        <v>0</v>
      </c>
      <c r="O39" s="4" t="s">
        <v>26</v>
      </c>
      <c r="P39" s="4">
        <f>+VLOOKUP(O39,scoring!$U$10:$AA$105,4,FALSE)-72</f>
        <v>9</v>
      </c>
      <c r="Q39" s="4" t="s">
        <v>26</v>
      </c>
      <c r="R39" s="4">
        <f>+VLOOKUP(Q39,scoring!$U$10:$AA$105,4,FALSE)-72</f>
        <v>9</v>
      </c>
      <c r="S39" s="4" t="s">
        <v>26</v>
      </c>
      <c r="T39" s="4">
        <f>+VLOOKUP(S39,scoring!$U$10:$AA$105,4,FALSE)-72</f>
        <v>9</v>
      </c>
      <c r="U39" s="4">
        <f t="shared" si="0"/>
        <v>-13</v>
      </c>
    </row>
    <row r="40" spans="1:21" ht="16" x14ac:dyDescent="0.2">
      <c r="A40" s="5">
        <v>38</v>
      </c>
      <c r="B40" s="6" t="s">
        <v>17</v>
      </c>
      <c r="C40" s="6" t="s">
        <v>18</v>
      </c>
      <c r="D40" s="6" t="s">
        <v>19</v>
      </c>
      <c r="E40" s="6" t="s">
        <v>15</v>
      </c>
      <c r="F40" s="6">
        <f>+VLOOKUP(E40,scoring!$U$10:$AA$105,4,FALSE)-72</f>
        <v>1</v>
      </c>
      <c r="G40" s="6" t="s">
        <v>15</v>
      </c>
      <c r="H40" s="6">
        <f>+VLOOKUP(G40,scoring!$U$10:$AA$105,4,FALSE)-72</f>
        <v>1</v>
      </c>
      <c r="I40" s="6" t="s">
        <v>47</v>
      </c>
      <c r="J40" s="6">
        <f>+VLOOKUP(I40,scoring!$U$10:$AA$105,4,FALSE)-72</f>
        <v>-4</v>
      </c>
      <c r="K40" s="6" t="s">
        <v>75</v>
      </c>
      <c r="L40" s="6">
        <f>+VLOOKUP(K40,scoring!$U$10:$AA$105,4,FALSE)-72</f>
        <v>0</v>
      </c>
      <c r="M40" s="6" t="s">
        <v>28</v>
      </c>
      <c r="N40" s="6">
        <f>+VLOOKUP(M40,scoring!$U$10:$AA$105,4,FALSE)-72</f>
        <v>0</v>
      </c>
      <c r="O40" s="6" t="s">
        <v>168</v>
      </c>
      <c r="P40" s="6">
        <f>+VLOOKUP(O40,scoring!$U$10:$AA$105,4,FALSE)-72</f>
        <v>0</v>
      </c>
      <c r="Q40" s="6" t="s">
        <v>24</v>
      </c>
      <c r="R40" s="6">
        <f>+VLOOKUP(Q40,scoring!$U$10:$AA$105,4,FALSE)-72</f>
        <v>7</v>
      </c>
      <c r="S40" s="6" t="s">
        <v>177</v>
      </c>
      <c r="T40" s="6">
        <f>+VLOOKUP(S40,scoring!$U$10:$AA$105,4,FALSE)-72</f>
        <v>3</v>
      </c>
      <c r="U40" s="6">
        <f t="shared" si="0"/>
        <v>-4</v>
      </c>
    </row>
    <row r="41" spans="1:21" ht="16" x14ac:dyDescent="0.2">
      <c r="A41" s="3">
        <v>39</v>
      </c>
      <c r="B41" s="4" t="s">
        <v>161</v>
      </c>
      <c r="C41" s="4" t="s">
        <v>70</v>
      </c>
      <c r="D41" s="4" t="s">
        <v>71</v>
      </c>
      <c r="E41" s="4" t="s">
        <v>34</v>
      </c>
      <c r="F41" s="4">
        <f>+VLOOKUP(E41,scoring!$U$10:$AA$105,4,FALSE)-72</f>
        <v>-3</v>
      </c>
      <c r="G41" s="4" t="s">
        <v>27</v>
      </c>
      <c r="H41" s="4">
        <f>+VLOOKUP(G41,scoring!$U$10:$AA$105,4,FALSE)-72</f>
        <v>-3</v>
      </c>
      <c r="I41" s="4" t="s">
        <v>176</v>
      </c>
      <c r="J41" s="4">
        <f>+VLOOKUP(I41,scoring!$U$10:$AA$105,4,FALSE)-72</f>
        <v>0</v>
      </c>
      <c r="K41" s="4" t="s">
        <v>164</v>
      </c>
      <c r="L41" s="4">
        <f>+VLOOKUP(K41,scoring!$U$10:$AA$105,4,FALSE)-72</f>
        <v>-2</v>
      </c>
      <c r="M41" s="4" t="s">
        <v>75</v>
      </c>
      <c r="N41" s="4">
        <f>+VLOOKUP(M41,scoring!$U$10:$AA$105,4,FALSE)-72</f>
        <v>0</v>
      </c>
      <c r="O41" s="4" t="s">
        <v>54</v>
      </c>
      <c r="P41" s="4">
        <f>+VLOOKUP(O41,scoring!$U$10:$AA$105,4,FALSE)-72</f>
        <v>-4</v>
      </c>
      <c r="Q41" s="4" t="s">
        <v>55</v>
      </c>
      <c r="R41" s="4">
        <f>+VLOOKUP(Q41,scoring!$U$10:$AA$105,4,FALSE)-72</f>
        <v>-1</v>
      </c>
      <c r="S41" s="4" t="s">
        <v>38</v>
      </c>
      <c r="T41" s="4">
        <f>+VLOOKUP(S41,scoring!$U$10:$AA$105,4,FALSE)-72</f>
        <v>-2</v>
      </c>
      <c r="U41" s="4">
        <f t="shared" si="0"/>
        <v>-10</v>
      </c>
    </row>
    <row r="43" spans="1:21" x14ac:dyDescent="0.2">
      <c r="U43" s="25"/>
    </row>
    <row r="44" spans="1:21" x14ac:dyDescent="0.2">
      <c r="A44" s="26"/>
    </row>
    <row r="45" spans="1:21" ht="16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" x14ac:dyDescent="0.2">
      <c r="A46" s="3"/>
      <c r="B46" s="4"/>
      <c r="C46" s="4"/>
      <c r="D46" s="4"/>
      <c r="E46" s="4"/>
      <c r="F46" s="22"/>
      <c r="G46" s="4"/>
      <c r="H46" s="22"/>
      <c r="I46" s="4"/>
      <c r="J46" s="22"/>
      <c r="K46" s="4"/>
      <c r="L46" s="22"/>
      <c r="M46" s="4"/>
      <c r="N46" s="22"/>
      <c r="O46" s="4"/>
      <c r="P46" s="22"/>
      <c r="Q46" s="4"/>
      <c r="R46" s="22"/>
      <c r="S46" s="4"/>
      <c r="T46" s="22"/>
      <c r="U46" s="22"/>
    </row>
    <row r="47" spans="1:21" ht="16" x14ac:dyDescent="0.2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6" x14ac:dyDescent="0.2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6" x14ac:dyDescent="0.2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6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6" x14ac:dyDescent="0.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6" x14ac:dyDescent="0.2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6" x14ac:dyDescent="0.2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6" x14ac:dyDescent="0.2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6" x14ac:dyDescent="0.2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6" x14ac:dyDescent="0.2">
      <c r="A56" s="3"/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6" x14ac:dyDescent="0.2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6" x14ac:dyDescent="0.2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6" x14ac:dyDescent="0.2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6" x14ac:dyDescent="0.2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6" x14ac:dyDescent="0.2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6" x14ac:dyDescent="0.2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6" x14ac:dyDescent="0.2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6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6" x14ac:dyDescent="0.2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6" x14ac:dyDescent="0.2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6" x14ac:dyDescent="0.2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6" x14ac:dyDescent="0.2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6" x14ac:dyDescent="0.2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6" x14ac:dyDescent="0.2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6" x14ac:dyDescent="0.2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6" x14ac:dyDescent="0.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6" x14ac:dyDescent="0.2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6" x14ac:dyDescent="0.2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6" x14ac:dyDescent="0.2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6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6" x14ac:dyDescent="0.2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6" x14ac:dyDescent="0.2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6" x14ac:dyDescent="0.2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6" x14ac:dyDescent="0.2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6" x14ac:dyDescent="0.2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6" x14ac:dyDescent="0.2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6" x14ac:dyDescent="0.2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6" x14ac:dyDescent="0.2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6" spans="1:21" x14ac:dyDescent="0.2">
      <c r="U86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8E35-FD90-B642-AFAF-06F72912ED0B}">
  <dimension ref="A1:U90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5" width="18.5" bestFit="1" customWidth="1"/>
    <col min="6" max="6" width="6.1640625" customWidth="1"/>
    <col min="7" max="7" width="18.5" bestFit="1" customWidth="1"/>
    <col min="8" max="8" width="4.83203125" customWidth="1"/>
    <col min="9" max="9" width="18.5" bestFit="1" customWidth="1"/>
    <col min="10" max="10" width="4.83203125" customWidth="1"/>
    <col min="11" max="11" width="19.1640625" bestFit="1" customWidth="1"/>
    <col min="12" max="12" width="4.83203125" customWidth="1"/>
    <col min="13" max="13" width="20.1640625" bestFit="1" customWidth="1"/>
    <col min="14" max="14" width="4.83203125" customWidth="1"/>
    <col min="15" max="15" width="17.6640625" bestFit="1" customWidth="1"/>
    <col min="16" max="16" width="4.83203125" customWidth="1"/>
    <col min="17" max="17" width="18.6640625" bestFit="1" customWidth="1"/>
    <col min="18" max="18" width="4.83203125" customWidth="1"/>
    <col min="19" max="19" width="18.6640625" bestFit="1" customWidth="1"/>
    <col min="20" max="20" width="4.83203125" customWidth="1"/>
    <col min="21" max="21" width="13" customWidth="1"/>
  </cols>
  <sheetData>
    <row r="1" spans="1:21" x14ac:dyDescent="0.2">
      <c r="A1" s="26" t="s">
        <v>257</v>
      </c>
    </row>
    <row r="2" spans="1:21" ht="1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5</v>
      </c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/>
      <c r="S2" s="2" t="s">
        <v>11</v>
      </c>
      <c r="T2" s="2"/>
      <c r="U2" s="2" t="s">
        <v>183</v>
      </c>
    </row>
    <row r="3" spans="1:21" ht="16" x14ac:dyDescent="0.2">
      <c r="A3" s="32">
        <v>36</v>
      </c>
      <c r="B3" s="33" t="s">
        <v>101</v>
      </c>
      <c r="C3" s="33" t="s">
        <v>102</v>
      </c>
      <c r="D3" s="33" t="s">
        <v>103</v>
      </c>
      <c r="E3" s="33" t="s">
        <v>43</v>
      </c>
      <c r="F3" s="33">
        <f>+VLOOKUP(E3,scoring!$U$10:$AA$105,5,FALSE)-72</f>
        <v>-6</v>
      </c>
      <c r="G3" s="33" t="s">
        <v>15</v>
      </c>
      <c r="H3" s="33">
        <f>+VLOOKUP(G3,scoring!$U$10:$AA$105,5,FALSE)-72</f>
        <v>-3</v>
      </c>
      <c r="I3" s="33" t="s">
        <v>166</v>
      </c>
      <c r="J3" s="33">
        <f>+VLOOKUP(I3,scoring!$U$10:$AA$105,5,FALSE)-72</f>
        <v>1</v>
      </c>
      <c r="K3" s="33" t="s">
        <v>170</v>
      </c>
      <c r="L3" s="33">
        <f>+VLOOKUP(K3,scoring!$U$10:$AA$105,5,FALSE)-72</f>
        <v>-1</v>
      </c>
      <c r="M3" s="33" t="s">
        <v>26</v>
      </c>
      <c r="N3" s="33">
        <f>+VLOOKUP(M3,scoring!$U$10:$AA$105,5,FALSE)-72</f>
        <v>9</v>
      </c>
      <c r="O3" s="33" t="s">
        <v>26</v>
      </c>
      <c r="P3" s="33">
        <f>+VLOOKUP(O3,scoring!$U$10:$AA$105,5,FALSE)-72</f>
        <v>9</v>
      </c>
      <c r="Q3" s="33" t="s">
        <v>26</v>
      </c>
      <c r="R3" s="33">
        <f>+VLOOKUP(Q3,scoring!$U$10:$AA$105,5,FALSE)-72</f>
        <v>9</v>
      </c>
      <c r="S3" s="33" t="s">
        <v>26</v>
      </c>
      <c r="T3" s="33">
        <f>+VLOOKUP(S3,scoring!$U$10:$AA$105,5,FALSE)-72</f>
        <v>9</v>
      </c>
      <c r="U3" s="33">
        <f t="shared" ref="U3:U41" si="0">IFERROR(SMALL(E3:T3,1)+SMALL(E3:T3,2)+SMALL(E3:T3,3),IFERROR(SMALL(E3:T3,1)+SMALL(E3:T3,2),IFERROR(SMALL(E3:T3,1),"-")))</f>
        <v>-10</v>
      </c>
    </row>
    <row r="4" spans="1:21" ht="16" x14ac:dyDescent="0.2">
      <c r="A4" s="32">
        <v>11</v>
      </c>
      <c r="B4" s="33" t="s">
        <v>247</v>
      </c>
      <c r="C4" s="34" t="s">
        <v>121</v>
      </c>
      <c r="D4" s="33" t="s">
        <v>100</v>
      </c>
      <c r="E4" s="33" t="s">
        <v>69</v>
      </c>
      <c r="F4" s="33">
        <f>+VLOOKUP(E4,scoring!$U$10:$AA$105,5,FALSE)-72</f>
        <v>-2</v>
      </c>
      <c r="G4" s="33" t="s">
        <v>47</v>
      </c>
      <c r="H4" s="33">
        <f>+VLOOKUP(G4,scoring!$U$10:$AA$105,5,FALSE)-72</f>
        <v>-3</v>
      </c>
      <c r="I4" s="33" t="s">
        <v>20</v>
      </c>
      <c r="J4" s="33">
        <f>+VLOOKUP(I4,scoring!$U$10:$AA$105,5,FALSE)-72</f>
        <v>8</v>
      </c>
      <c r="K4" s="33" t="s">
        <v>74</v>
      </c>
      <c r="L4" s="33">
        <f>+VLOOKUP(K4,scoring!$U$10:$AA$105,5,FALSE)-72</f>
        <v>-3</v>
      </c>
      <c r="M4" s="33" t="s">
        <v>29</v>
      </c>
      <c r="N4" s="33">
        <f>+VLOOKUP(M4,scoring!$U$10:$AA$105,5,FALSE)-72</f>
        <v>-3</v>
      </c>
      <c r="O4" s="33" t="s">
        <v>51</v>
      </c>
      <c r="P4" s="33">
        <f>+VLOOKUP(O4,scoring!$U$10:$AA$105,5,FALSE)-72</f>
        <v>3</v>
      </c>
      <c r="Q4" s="33" t="s">
        <v>172</v>
      </c>
      <c r="R4" s="33">
        <f>+VLOOKUP(Q4,scoring!$U$10:$AA$105,5,FALSE)-72</f>
        <v>8</v>
      </c>
      <c r="S4" s="33" t="s">
        <v>173</v>
      </c>
      <c r="T4" s="33">
        <f>+VLOOKUP(S4,scoring!$U$10:$AA$105,5,FALSE)-72</f>
        <v>1</v>
      </c>
      <c r="U4" s="33">
        <f t="shared" si="0"/>
        <v>-9</v>
      </c>
    </row>
    <row r="5" spans="1:21" ht="16" x14ac:dyDescent="0.2">
      <c r="A5" s="32">
        <v>15</v>
      </c>
      <c r="B5" s="33" t="s">
        <v>126</v>
      </c>
      <c r="C5" s="33" t="s">
        <v>62</v>
      </c>
      <c r="D5" s="33" t="s">
        <v>63</v>
      </c>
      <c r="E5" s="33" t="s">
        <v>15</v>
      </c>
      <c r="F5" s="33">
        <f>+VLOOKUP(E5,scoring!$U$10:$AA$105,5,FALSE)-72</f>
        <v>-3</v>
      </c>
      <c r="G5" s="33" t="s">
        <v>15</v>
      </c>
      <c r="H5" s="33">
        <f>+VLOOKUP(G5,scoring!$U$10:$AA$105,5,FALSE)-72</f>
        <v>-3</v>
      </c>
      <c r="I5" s="33" t="s">
        <v>41</v>
      </c>
      <c r="J5" s="33">
        <f>+VLOOKUP(I5,scoring!$U$10:$AA$105,5,FALSE)-72</f>
        <v>8</v>
      </c>
      <c r="K5" s="33" t="s">
        <v>41</v>
      </c>
      <c r="L5" s="33">
        <f>+VLOOKUP(K5,scoring!$U$10:$AA$105,5,FALSE)-72</f>
        <v>8</v>
      </c>
      <c r="M5" s="33" t="s">
        <v>32</v>
      </c>
      <c r="N5" s="33">
        <f>+VLOOKUP(M5,scoring!$U$10:$AA$105,5,FALSE)-72</f>
        <v>1</v>
      </c>
      <c r="O5" s="33" t="s">
        <v>29</v>
      </c>
      <c r="P5" s="33">
        <f>+VLOOKUP(O5,scoring!$U$10:$AA$105,5,FALSE)-72</f>
        <v>-3</v>
      </c>
      <c r="Q5" s="33" t="s">
        <v>171</v>
      </c>
      <c r="R5" s="33">
        <f>+VLOOKUP(Q5,scoring!$U$10:$AA$105,5,FALSE)-72</f>
        <v>8</v>
      </c>
      <c r="S5" s="33" t="s">
        <v>171</v>
      </c>
      <c r="T5" s="33">
        <f>+VLOOKUP(S5,scoring!$U$10:$AA$105,5,FALSE)-72</f>
        <v>8</v>
      </c>
      <c r="U5" s="33">
        <f t="shared" si="0"/>
        <v>-9</v>
      </c>
    </row>
    <row r="6" spans="1:21" ht="16" x14ac:dyDescent="0.2">
      <c r="A6" s="32">
        <v>23</v>
      </c>
      <c r="B6" s="33" t="s">
        <v>139</v>
      </c>
      <c r="C6" s="33" t="s">
        <v>141</v>
      </c>
      <c r="D6" s="33" t="s">
        <v>142</v>
      </c>
      <c r="E6" s="33" t="s">
        <v>15</v>
      </c>
      <c r="F6" s="33">
        <f>+VLOOKUP(E6,scoring!$U$10:$AA$105,5,FALSE)-72</f>
        <v>-3</v>
      </c>
      <c r="G6" s="33" t="s">
        <v>15</v>
      </c>
      <c r="H6" s="33">
        <f>+VLOOKUP(G6,scoring!$U$10:$AA$105,5,FALSE)-72</f>
        <v>-3</v>
      </c>
      <c r="I6" s="33" t="s">
        <v>15</v>
      </c>
      <c r="J6" s="33">
        <f>+VLOOKUP(I6,scoring!$U$10:$AA$105,5,FALSE)-72</f>
        <v>-3</v>
      </c>
      <c r="K6" s="33" t="s">
        <v>23</v>
      </c>
      <c r="L6" s="33">
        <f>+VLOOKUP(K6,scoring!$U$10:$AA$105,5,FALSE)-72</f>
        <v>8</v>
      </c>
      <c r="M6" s="33" t="s">
        <v>38</v>
      </c>
      <c r="N6" s="33">
        <f>+VLOOKUP(M6,scoring!$U$10:$AA$105,5,FALSE)-72</f>
        <v>-2</v>
      </c>
      <c r="O6" s="33" t="s">
        <v>26</v>
      </c>
      <c r="P6" s="33">
        <f>+VLOOKUP(O6,scoring!$U$10:$AA$105,5,FALSE)-72</f>
        <v>9</v>
      </c>
      <c r="Q6" s="33" t="s">
        <v>26</v>
      </c>
      <c r="R6" s="33">
        <f>+VLOOKUP(Q6,scoring!$U$10:$AA$105,5,FALSE)-72</f>
        <v>9</v>
      </c>
      <c r="S6" s="33" t="s">
        <v>26</v>
      </c>
      <c r="T6" s="33">
        <f>+VLOOKUP(S6,scoring!$U$10:$AA$105,5,FALSE)-72</f>
        <v>9</v>
      </c>
      <c r="U6" s="33">
        <f t="shared" si="0"/>
        <v>-9</v>
      </c>
    </row>
    <row r="7" spans="1:21" ht="16" x14ac:dyDescent="0.2">
      <c r="A7" s="32">
        <v>30</v>
      </c>
      <c r="B7" s="33" t="s">
        <v>152</v>
      </c>
      <c r="C7" s="33" t="s">
        <v>52</v>
      </c>
      <c r="D7" s="33" t="s">
        <v>53</v>
      </c>
      <c r="E7" s="33" t="s">
        <v>16</v>
      </c>
      <c r="F7" s="33">
        <f>+VLOOKUP(E7,scoring!$U$10:$AA$105,5,FALSE)-72</f>
        <v>8</v>
      </c>
      <c r="G7" s="33" t="s">
        <v>180</v>
      </c>
      <c r="H7" s="33">
        <f>+VLOOKUP(G7,scoring!$U$10:$AA$105,5,FALSE)-72</f>
        <v>-6</v>
      </c>
      <c r="I7" s="33" t="s">
        <v>54</v>
      </c>
      <c r="J7" s="33">
        <f>+VLOOKUP(I7,scoring!$U$10:$AA$105,5,FALSE)-72</f>
        <v>0</v>
      </c>
      <c r="K7" s="33" t="s">
        <v>32</v>
      </c>
      <c r="L7" s="33">
        <f>+VLOOKUP(K7,scoring!$U$10:$AA$105,5,FALSE)-72</f>
        <v>1</v>
      </c>
      <c r="M7" s="33" t="s">
        <v>32</v>
      </c>
      <c r="N7" s="33">
        <f>+VLOOKUP(M7,scoring!$U$10:$AA$105,5,FALSE)-72</f>
        <v>1</v>
      </c>
      <c r="O7" s="33" t="s">
        <v>94</v>
      </c>
      <c r="P7" s="33">
        <f>+VLOOKUP(O7,scoring!$U$10:$AA$105,5,FALSE)-72</f>
        <v>8</v>
      </c>
      <c r="Q7" s="33" t="s">
        <v>15</v>
      </c>
      <c r="R7" s="33">
        <f>+VLOOKUP(Q7,scoring!$U$10:$AA$105,5,FALSE)-72</f>
        <v>-3</v>
      </c>
      <c r="S7" s="33" t="s">
        <v>33</v>
      </c>
      <c r="T7" s="33">
        <f>+VLOOKUP(S7,scoring!$U$10:$AA$105,5,FALSE)-72</f>
        <v>4</v>
      </c>
      <c r="U7" s="33">
        <f t="shared" si="0"/>
        <v>-9</v>
      </c>
    </row>
    <row r="8" spans="1:21" ht="16" x14ac:dyDescent="0.2">
      <c r="A8" s="32">
        <v>33</v>
      </c>
      <c r="B8" s="33" t="s">
        <v>159</v>
      </c>
      <c r="C8" s="33" t="s">
        <v>154</v>
      </c>
      <c r="D8" s="33" t="s">
        <v>155</v>
      </c>
      <c r="E8" s="33" t="s">
        <v>15</v>
      </c>
      <c r="F8" s="33">
        <f>+VLOOKUP(E8,scoring!$U$10:$AA$105,5,FALSE)-72</f>
        <v>-3</v>
      </c>
      <c r="G8" s="33" t="s">
        <v>15</v>
      </c>
      <c r="H8" s="33">
        <f>+VLOOKUP(G8,scoring!$U$10:$AA$105,5,FALSE)-72</f>
        <v>-3</v>
      </c>
      <c r="I8" s="33" t="s">
        <v>51</v>
      </c>
      <c r="J8" s="33">
        <f>+VLOOKUP(I8,scoring!$U$10:$AA$105,5,FALSE)-72</f>
        <v>3</v>
      </c>
      <c r="K8" s="33" t="s">
        <v>29</v>
      </c>
      <c r="L8" s="33">
        <f>+VLOOKUP(K8,scoring!$U$10:$AA$105,5,FALSE)-72</f>
        <v>-3</v>
      </c>
      <c r="M8" s="33" t="s">
        <v>33</v>
      </c>
      <c r="N8" s="33">
        <f>+VLOOKUP(M8,scoring!$U$10:$AA$105,5,FALSE)-72</f>
        <v>4</v>
      </c>
      <c r="O8" s="33" t="s">
        <v>167</v>
      </c>
      <c r="P8" s="33">
        <f>+VLOOKUP(O8,scoring!$U$10:$AA$105,5,FALSE)-72</f>
        <v>2</v>
      </c>
      <c r="Q8" s="33" t="s">
        <v>88</v>
      </c>
      <c r="R8" s="33">
        <f>+VLOOKUP(Q8,scoring!$U$10:$AA$105,5,FALSE)-72</f>
        <v>2</v>
      </c>
      <c r="S8" s="33" t="s">
        <v>22</v>
      </c>
      <c r="T8" s="33">
        <f>+VLOOKUP(S8,scoring!$U$10:$AA$105,5,FALSE)-72</f>
        <v>8</v>
      </c>
      <c r="U8" s="33">
        <f t="shared" si="0"/>
        <v>-9</v>
      </c>
    </row>
    <row r="9" spans="1:21" ht="16" x14ac:dyDescent="0.2">
      <c r="A9" s="32">
        <v>38</v>
      </c>
      <c r="B9" s="33" t="s">
        <v>17</v>
      </c>
      <c r="C9" s="33" t="s">
        <v>18</v>
      </c>
      <c r="D9" s="33" t="s">
        <v>19</v>
      </c>
      <c r="E9" s="33" t="s">
        <v>15</v>
      </c>
      <c r="F9" s="33">
        <f>+VLOOKUP(E9,scoring!$U$10:$AA$105,5,FALSE)-72</f>
        <v>-3</v>
      </c>
      <c r="G9" s="33" t="s">
        <v>15</v>
      </c>
      <c r="H9" s="33">
        <f>+VLOOKUP(G9,scoring!$U$10:$AA$105,5,FALSE)-72</f>
        <v>-3</v>
      </c>
      <c r="I9" s="33" t="s">
        <v>47</v>
      </c>
      <c r="J9" s="33">
        <f>+VLOOKUP(I9,scoring!$U$10:$AA$105,5,FALSE)-72</f>
        <v>-3</v>
      </c>
      <c r="K9" s="33" t="s">
        <v>75</v>
      </c>
      <c r="L9" s="33">
        <f>+VLOOKUP(K9,scoring!$U$10:$AA$105,5,FALSE)-72</f>
        <v>5</v>
      </c>
      <c r="M9" s="33" t="s">
        <v>28</v>
      </c>
      <c r="N9" s="33">
        <f>+VLOOKUP(M9,scoring!$U$10:$AA$105,5,FALSE)-72</f>
        <v>1</v>
      </c>
      <c r="O9" s="33" t="s">
        <v>168</v>
      </c>
      <c r="P9" s="33">
        <f>+VLOOKUP(O9,scoring!$U$10:$AA$105,5,FALSE)-72</f>
        <v>8</v>
      </c>
      <c r="Q9" s="33" t="s">
        <v>24</v>
      </c>
      <c r="R9" s="33">
        <f>+VLOOKUP(Q9,scoring!$U$10:$AA$105,5,FALSE)-72</f>
        <v>8</v>
      </c>
      <c r="S9" s="33" t="s">
        <v>177</v>
      </c>
      <c r="T9" s="33">
        <f>+VLOOKUP(S9,scoring!$U$10:$AA$105,5,FALSE)-72</f>
        <v>8</v>
      </c>
      <c r="U9" s="33">
        <f t="shared" si="0"/>
        <v>-9</v>
      </c>
    </row>
    <row r="10" spans="1:21" ht="16" x14ac:dyDescent="0.2">
      <c r="A10" s="32">
        <v>29</v>
      </c>
      <c r="B10" s="33" t="s">
        <v>149</v>
      </c>
      <c r="C10" s="33" t="s">
        <v>150</v>
      </c>
      <c r="D10" s="33" t="s">
        <v>151</v>
      </c>
      <c r="E10" s="33" t="s">
        <v>47</v>
      </c>
      <c r="F10" s="33">
        <f>+VLOOKUP(E10,scoring!$U$10:$AA$105,5,FALSE)-72</f>
        <v>-3</v>
      </c>
      <c r="G10" s="33" t="s">
        <v>47</v>
      </c>
      <c r="H10" s="33">
        <f>+VLOOKUP(G10,scoring!$U$10:$AA$105,5,FALSE)-72</f>
        <v>-3</v>
      </c>
      <c r="I10" s="33" t="s">
        <v>14</v>
      </c>
      <c r="J10" s="33">
        <f>+VLOOKUP(I10,scoring!$U$10:$AA$105,5,FALSE)-72</f>
        <v>-2</v>
      </c>
      <c r="K10" s="33" t="s">
        <v>14</v>
      </c>
      <c r="L10" s="33">
        <f>+VLOOKUP(K10,scoring!$U$10:$AA$105,5,FALSE)-72</f>
        <v>-2</v>
      </c>
      <c r="M10" s="33" t="s">
        <v>165</v>
      </c>
      <c r="N10" s="33">
        <f>+VLOOKUP(M10,scoring!$U$10:$AA$105,5,FALSE)-72</f>
        <v>8</v>
      </c>
      <c r="O10" s="33" t="s">
        <v>165</v>
      </c>
      <c r="P10" s="33">
        <f>+VLOOKUP(O10,scoring!$U$10:$AA$105,5,FALSE)-72</f>
        <v>8</v>
      </c>
      <c r="Q10" s="33" t="s">
        <v>26</v>
      </c>
      <c r="R10" s="33">
        <f>+VLOOKUP(Q10,scoring!$U$10:$AA$105,5,FALSE)-72</f>
        <v>9</v>
      </c>
      <c r="S10" s="33" t="s">
        <v>26</v>
      </c>
      <c r="T10" s="33">
        <f>+VLOOKUP(S10,scoring!$U$10:$AA$105,5,FALSE)-72</f>
        <v>9</v>
      </c>
      <c r="U10" s="33">
        <f t="shared" si="0"/>
        <v>-8</v>
      </c>
    </row>
    <row r="11" spans="1:21" ht="16" x14ac:dyDescent="0.2">
      <c r="A11" s="32">
        <v>6</v>
      </c>
      <c r="B11" s="33" t="s">
        <v>111</v>
      </c>
      <c r="C11" s="33" t="s">
        <v>84</v>
      </c>
      <c r="D11" s="33" t="s">
        <v>85</v>
      </c>
      <c r="E11" s="33" t="s">
        <v>32</v>
      </c>
      <c r="F11" s="33">
        <f>+VLOOKUP(E11,scoring!$U$10:$AA$105,5,FALSE)-72</f>
        <v>1</v>
      </c>
      <c r="G11" s="33" t="s">
        <v>32</v>
      </c>
      <c r="H11" s="33">
        <f>+VLOOKUP(G11,scoring!$U$10:$AA$105,5,FALSE)-72</f>
        <v>1</v>
      </c>
      <c r="I11" s="33" t="s">
        <v>74</v>
      </c>
      <c r="J11" s="33">
        <f>+VLOOKUP(I11,scoring!$U$10:$AA$105,5,FALSE)-72</f>
        <v>-3</v>
      </c>
      <c r="K11" s="33" t="s">
        <v>74</v>
      </c>
      <c r="L11" s="33">
        <f>+VLOOKUP(K11,scoring!$U$10:$AA$105,5,FALSE)-72</f>
        <v>-3</v>
      </c>
      <c r="M11" s="33" t="s">
        <v>37</v>
      </c>
      <c r="N11" s="33">
        <f>+VLOOKUP(M11,scoring!$U$10:$AA$105,5,FALSE)-72</f>
        <v>7</v>
      </c>
      <c r="O11" s="33" t="s">
        <v>37</v>
      </c>
      <c r="P11" s="33">
        <f>+VLOOKUP(O11,scoring!$U$10:$AA$105,5,FALSE)-72</f>
        <v>7</v>
      </c>
      <c r="Q11" s="33" t="s">
        <v>50</v>
      </c>
      <c r="R11" s="33">
        <f>+VLOOKUP(Q11,scoring!$U$10:$AA$105,5,FALSE)-72</f>
        <v>-1</v>
      </c>
      <c r="S11" s="33" t="s">
        <v>50</v>
      </c>
      <c r="T11" s="33">
        <f>+VLOOKUP(S11,scoring!$U$10:$AA$105,5,FALSE)-72</f>
        <v>-1</v>
      </c>
      <c r="U11" s="33">
        <f t="shared" si="0"/>
        <v>-7</v>
      </c>
    </row>
    <row r="12" spans="1:21" ht="16" x14ac:dyDescent="0.2">
      <c r="A12" s="32">
        <v>7</v>
      </c>
      <c r="B12" s="33" t="s">
        <v>112</v>
      </c>
      <c r="C12" s="33" t="s">
        <v>56</v>
      </c>
      <c r="D12" s="33" t="s">
        <v>57</v>
      </c>
      <c r="E12" s="33" t="s">
        <v>34</v>
      </c>
      <c r="F12" s="33">
        <f>+VLOOKUP(E12,scoring!$U$10:$AA$105,5,FALSE)-72</f>
        <v>0</v>
      </c>
      <c r="G12" s="33" t="s">
        <v>34</v>
      </c>
      <c r="H12" s="33">
        <f>+VLOOKUP(G12,scoring!$U$10:$AA$105,5,FALSE)-72</f>
        <v>0</v>
      </c>
      <c r="I12" s="33" t="s">
        <v>34</v>
      </c>
      <c r="J12" s="33">
        <f>+VLOOKUP(I12,scoring!$U$10:$AA$105,5,FALSE)-72</f>
        <v>0</v>
      </c>
      <c r="K12" s="33" t="s">
        <v>29</v>
      </c>
      <c r="L12" s="33">
        <f>+VLOOKUP(K12,scoring!$U$10:$AA$105,5,FALSE)-72</f>
        <v>-3</v>
      </c>
      <c r="M12" s="33" t="s">
        <v>170</v>
      </c>
      <c r="N12" s="33">
        <f>+VLOOKUP(M12,scoring!$U$10:$AA$105,5,FALSE)-72</f>
        <v>-1</v>
      </c>
      <c r="O12" s="33" t="s">
        <v>24</v>
      </c>
      <c r="P12" s="33">
        <f>+VLOOKUP(O12,scoring!$U$10:$AA$105,5,FALSE)-72</f>
        <v>8</v>
      </c>
      <c r="Q12" s="33" t="s">
        <v>97</v>
      </c>
      <c r="R12" s="33">
        <f>+VLOOKUP(Q12,scoring!$U$10:$AA$105,5,FALSE)-72</f>
        <v>1</v>
      </c>
      <c r="S12" s="33" t="s">
        <v>175</v>
      </c>
      <c r="T12" s="33">
        <f>+VLOOKUP(S12,scoring!$U$10:$AA$105,5,FALSE)-72</f>
        <v>-3</v>
      </c>
      <c r="U12" s="33">
        <f t="shared" si="0"/>
        <v>-7</v>
      </c>
    </row>
    <row r="13" spans="1:21" ht="16" x14ac:dyDescent="0.2">
      <c r="A13" s="32">
        <v>8</v>
      </c>
      <c r="B13" s="33" t="s">
        <v>113</v>
      </c>
      <c r="C13" s="33" t="s">
        <v>65</v>
      </c>
      <c r="D13" s="33" t="s">
        <v>66</v>
      </c>
      <c r="E13" s="33" t="s">
        <v>27</v>
      </c>
      <c r="F13" s="33">
        <f>+VLOOKUP(E13,scoring!$U$10:$AA$105,5,FALSE)-72</f>
        <v>-2</v>
      </c>
      <c r="G13" s="33" t="s">
        <v>27</v>
      </c>
      <c r="H13" s="33">
        <f>+VLOOKUP(G13,scoring!$U$10:$AA$105,5,FALSE)-72</f>
        <v>-2</v>
      </c>
      <c r="I13" s="33" t="s">
        <v>47</v>
      </c>
      <c r="J13" s="33">
        <f>+VLOOKUP(I13,scoring!$U$10:$AA$105,5,FALSE)-72</f>
        <v>-3</v>
      </c>
      <c r="K13" s="33" t="s">
        <v>54</v>
      </c>
      <c r="L13" s="33">
        <f>+VLOOKUP(K13,scoring!$U$10:$AA$105,5,FALSE)-72</f>
        <v>0</v>
      </c>
      <c r="M13" s="33" t="s">
        <v>38</v>
      </c>
      <c r="N13" s="33">
        <f>+VLOOKUP(M13,scoring!$U$10:$AA$105,5,FALSE)-72</f>
        <v>-2</v>
      </c>
      <c r="O13" s="33" t="s">
        <v>94</v>
      </c>
      <c r="P13" s="33">
        <f>+VLOOKUP(O13,scoring!$U$10:$AA$105,5,FALSE)-72</f>
        <v>8</v>
      </c>
      <c r="Q13" s="33" t="s">
        <v>26</v>
      </c>
      <c r="R13" s="33">
        <f>+VLOOKUP(Q13,scoring!$U$10:$AA$105,5,FALSE)-72</f>
        <v>9</v>
      </c>
      <c r="S13" s="33" t="s">
        <v>26</v>
      </c>
      <c r="T13" s="33">
        <f>+VLOOKUP(S13,scoring!$U$10:$AA$105,5,FALSE)-72</f>
        <v>9</v>
      </c>
      <c r="U13" s="33">
        <f t="shared" si="0"/>
        <v>-7</v>
      </c>
    </row>
    <row r="14" spans="1:21" ht="16" x14ac:dyDescent="0.2">
      <c r="A14" s="32">
        <v>35</v>
      </c>
      <c r="B14" s="33" t="s">
        <v>163</v>
      </c>
      <c r="C14" s="33" t="s">
        <v>72</v>
      </c>
      <c r="D14" s="33" t="s">
        <v>73</v>
      </c>
      <c r="E14" s="33" t="s">
        <v>14</v>
      </c>
      <c r="F14" s="33">
        <f>+VLOOKUP(E14,scoring!$U$10:$AA$105,5,FALSE)-72</f>
        <v>-2</v>
      </c>
      <c r="G14" s="33" t="s">
        <v>14</v>
      </c>
      <c r="H14" s="33">
        <f>+VLOOKUP(G14,scoring!$U$10:$AA$105,5,FALSE)-72</f>
        <v>-2</v>
      </c>
      <c r="I14" s="33" t="s">
        <v>34</v>
      </c>
      <c r="J14" s="33">
        <f>+VLOOKUP(I14,scoring!$U$10:$AA$105,5,FALSE)-72</f>
        <v>0</v>
      </c>
      <c r="K14" s="33" t="s">
        <v>34</v>
      </c>
      <c r="L14" s="33">
        <f>+VLOOKUP(K14,scoring!$U$10:$AA$105,5,FALSE)-72</f>
        <v>0</v>
      </c>
      <c r="M14" s="33" t="s">
        <v>75</v>
      </c>
      <c r="N14" s="33">
        <f>+VLOOKUP(M14,scoring!$U$10:$AA$105,5,FALSE)-72</f>
        <v>5</v>
      </c>
      <c r="O14" s="33" t="s">
        <v>25</v>
      </c>
      <c r="P14" s="33">
        <f>+VLOOKUP(O14,scoring!$U$10:$AA$105,5,FALSE)-72</f>
        <v>-3</v>
      </c>
      <c r="Q14" s="33" t="s">
        <v>26</v>
      </c>
      <c r="R14" s="33">
        <f>+VLOOKUP(Q14,scoring!$U$10:$AA$105,5,FALSE)-72</f>
        <v>9</v>
      </c>
      <c r="S14" s="33" t="s">
        <v>26</v>
      </c>
      <c r="T14" s="33">
        <f>+VLOOKUP(S14,scoring!$U$10:$AA$105,5,FALSE)-72</f>
        <v>9</v>
      </c>
      <c r="U14" s="33">
        <f t="shared" si="0"/>
        <v>-7</v>
      </c>
    </row>
    <row r="15" spans="1:21" ht="16" x14ac:dyDescent="0.2">
      <c r="A15" s="32">
        <v>12</v>
      </c>
      <c r="B15" s="33" t="s">
        <v>122</v>
      </c>
      <c r="C15" s="33" t="s">
        <v>123</v>
      </c>
      <c r="D15" s="33" t="s">
        <v>87</v>
      </c>
      <c r="E15" s="33" t="s">
        <v>15</v>
      </c>
      <c r="F15" s="33">
        <f>+VLOOKUP(E15,scoring!$U$10:$AA$105,5,FALSE)-72</f>
        <v>-3</v>
      </c>
      <c r="G15" s="33" t="s">
        <v>34</v>
      </c>
      <c r="H15" s="33">
        <f>+VLOOKUP(G15,scoring!$U$10:$AA$105,5,FALSE)-72</f>
        <v>0</v>
      </c>
      <c r="I15" s="33" t="s">
        <v>32</v>
      </c>
      <c r="J15" s="33">
        <f>+VLOOKUP(I15,scoring!$U$10:$AA$105,5,FALSE)-72</f>
        <v>1</v>
      </c>
      <c r="K15" s="33" t="s">
        <v>47</v>
      </c>
      <c r="L15" s="33">
        <f>+VLOOKUP(K15,scoring!$U$10:$AA$105,5,FALSE)-72</f>
        <v>-3</v>
      </c>
      <c r="M15" s="33" t="s">
        <v>22</v>
      </c>
      <c r="N15" s="33">
        <f>+VLOOKUP(M15,scoring!$U$10:$AA$105,5,FALSE)-72</f>
        <v>8</v>
      </c>
      <c r="O15" s="33" t="s">
        <v>76</v>
      </c>
      <c r="P15" s="33">
        <f>+VLOOKUP(O15,scoring!$U$10:$AA$105,5,FALSE)-72</f>
        <v>8</v>
      </c>
      <c r="Q15" s="33" t="s">
        <v>26</v>
      </c>
      <c r="R15" s="33">
        <f>+VLOOKUP(Q15,scoring!$U$10:$AA$105,5,FALSE)-72</f>
        <v>9</v>
      </c>
      <c r="S15" s="33" t="s">
        <v>26</v>
      </c>
      <c r="T15" s="33">
        <f>+VLOOKUP(S15,scoring!$U$10:$AA$105,5,FALSE)-72</f>
        <v>9</v>
      </c>
      <c r="U15" s="33">
        <f t="shared" si="0"/>
        <v>-6</v>
      </c>
    </row>
    <row r="16" spans="1:21" ht="16" x14ac:dyDescent="0.2">
      <c r="A16" s="32">
        <v>13</v>
      </c>
      <c r="B16" s="33" t="s">
        <v>124</v>
      </c>
      <c r="C16" s="33" t="s">
        <v>12</v>
      </c>
      <c r="D16" s="33" t="s">
        <v>13</v>
      </c>
      <c r="E16" s="33" t="s">
        <v>14</v>
      </c>
      <c r="F16" s="33">
        <f>+VLOOKUP(E16,scoring!$U$10:$AA$105,5,FALSE)-72</f>
        <v>-2</v>
      </c>
      <c r="G16" s="33" t="s">
        <v>14</v>
      </c>
      <c r="H16" s="33">
        <f>+VLOOKUP(G16,scoring!$U$10:$AA$105,5,FALSE)-72</f>
        <v>-2</v>
      </c>
      <c r="I16" s="33" t="s">
        <v>14</v>
      </c>
      <c r="J16" s="33">
        <f>+VLOOKUP(I16,scoring!$U$10:$AA$105,5,FALSE)-72</f>
        <v>-2</v>
      </c>
      <c r="K16" s="33" t="s">
        <v>42</v>
      </c>
      <c r="L16" s="33">
        <f>+VLOOKUP(K16,scoring!$U$10:$AA$105,5,FALSE)-72</f>
        <v>3</v>
      </c>
      <c r="M16" s="33" t="s">
        <v>42</v>
      </c>
      <c r="N16" s="33">
        <f>+VLOOKUP(M16,scoring!$U$10:$AA$105,5,FALSE)-72</f>
        <v>3</v>
      </c>
      <c r="O16" s="33" t="s">
        <v>42</v>
      </c>
      <c r="P16" s="33">
        <f>+VLOOKUP(O16,scoring!$U$10:$AA$105,5,FALSE)-72</f>
        <v>3</v>
      </c>
      <c r="Q16" s="33" t="s">
        <v>34</v>
      </c>
      <c r="R16" s="33">
        <f>+VLOOKUP(Q16,scoring!$U$10:$AA$105,5,FALSE)-72</f>
        <v>0</v>
      </c>
      <c r="S16" s="33" t="s">
        <v>26</v>
      </c>
      <c r="T16" s="33">
        <f>+VLOOKUP(S16,scoring!$U$10:$AA$105,5,FALSE)-72</f>
        <v>9</v>
      </c>
      <c r="U16" s="33">
        <f t="shared" si="0"/>
        <v>-6</v>
      </c>
    </row>
    <row r="17" spans="1:21" ht="16" x14ac:dyDescent="0.2">
      <c r="A17" s="32">
        <v>39</v>
      </c>
      <c r="B17" s="33" t="s">
        <v>161</v>
      </c>
      <c r="C17" s="33" t="s">
        <v>70</v>
      </c>
      <c r="D17" s="33" t="s">
        <v>71</v>
      </c>
      <c r="E17" s="33" t="s">
        <v>34</v>
      </c>
      <c r="F17" s="33">
        <f>+VLOOKUP(E17,scoring!$U$10:$AA$105,5,FALSE)-72</f>
        <v>0</v>
      </c>
      <c r="G17" s="33" t="s">
        <v>27</v>
      </c>
      <c r="H17" s="33">
        <f>+VLOOKUP(G17,scoring!$U$10:$AA$105,5,FALSE)-72</f>
        <v>-2</v>
      </c>
      <c r="I17" s="33" t="s">
        <v>176</v>
      </c>
      <c r="J17" s="33">
        <f>+VLOOKUP(I17,scoring!$U$10:$AA$105,5,FALSE)-72</f>
        <v>-2</v>
      </c>
      <c r="K17" s="33" t="s">
        <v>164</v>
      </c>
      <c r="L17" s="33">
        <f>+VLOOKUP(K17,scoring!$U$10:$AA$105,5,FALSE)-72</f>
        <v>3</v>
      </c>
      <c r="M17" s="33" t="s">
        <v>75</v>
      </c>
      <c r="N17" s="33">
        <f>+VLOOKUP(M17,scoring!$U$10:$AA$105,5,FALSE)-72</f>
        <v>5</v>
      </c>
      <c r="O17" s="33" t="s">
        <v>54</v>
      </c>
      <c r="P17" s="33">
        <f>+VLOOKUP(O17,scoring!$U$10:$AA$105,5,FALSE)-72</f>
        <v>0</v>
      </c>
      <c r="Q17" s="33" t="s">
        <v>55</v>
      </c>
      <c r="R17" s="33">
        <f>+VLOOKUP(Q17,scoring!$U$10:$AA$105,5,FALSE)-72</f>
        <v>5</v>
      </c>
      <c r="S17" s="33" t="s">
        <v>38</v>
      </c>
      <c r="T17" s="33">
        <f>+VLOOKUP(S17,scoring!$U$10:$AA$105,5,FALSE)-72</f>
        <v>-2</v>
      </c>
      <c r="U17" s="33">
        <f t="shared" si="0"/>
        <v>-6</v>
      </c>
    </row>
    <row r="18" spans="1:21" ht="16" x14ac:dyDescent="0.2">
      <c r="A18" s="32">
        <v>1</v>
      </c>
      <c r="B18" s="33" t="s">
        <v>104</v>
      </c>
      <c r="C18" s="33" t="s">
        <v>79</v>
      </c>
      <c r="D18" s="33" t="s">
        <v>105</v>
      </c>
      <c r="E18" s="33" t="s">
        <v>15</v>
      </c>
      <c r="F18" s="35">
        <f>+VLOOKUP(E18,scoring!$U$10:$AA$105,5,FALSE)-72</f>
        <v>-3</v>
      </c>
      <c r="G18" s="33" t="s">
        <v>20</v>
      </c>
      <c r="H18" s="35">
        <f>+VLOOKUP(G18,scoring!$U$10:$AA$105,5,FALSE)-72</f>
        <v>8</v>
      </c>
      <c r="I18" s="33" t="s">
        <v>58</v>
      </c>
      <c r="J18" s="35">
        <f>+VLOOKUP(I18,scoring!$U$10:$AA$105,5,FALSE)-72</f>
        <v>3</v>
      </c>
      <c r="K18" s="33" t="s">
        <v>44</v>
      </c>
      <c r="L18" s="35">
        <f>+VLOOKUP(K18,scoring!$U$10:$AA$105,5,FALSE)-72</f>
        <v>1</v>
      </c>
      <c r="M18" s="33" t="s">
        <v>30</v>
      </c>
      <c r="N18" s="35">
        <f>+VLOOKUP(M18,scoring!$U$10:$AA$105,5,FALSE)-72</f>
        <v>8</v>
      </c>
      <c r="O18" s="33" t="s">
        <v>30</v>
      </c>
      <c r="P18" s="35">
        <f>+VLOOKUP(O18,scoring!$U$10:$AA$105,5,FALSE)-72</f>
        <v>8</v>
      </c>
      <c r="Q18" s="33" t="s">
        <v>74</v>
      </c>
      <c r="R18" s="35">
        <f>+VLOOKUP(Q18,scoring!$U$10:$AA$105,5,FALSE)-72</f>
        <v>-3</v>
      </c>
      <c r="S18" s="33" t="s">
        <v>24</v>
      </c>
      <c r="T18" s="35">
        <f>+VLOOKUP(S18,scoring!$U$10:$AA$105,5,FALSE)-72</f>
        <v>8</v>
      </c>
      <c r="U18" s="35">
        <f t="shared" si="0"/>
        <v>-5</v>
      </c>
    </row>
    <row r="19" spans="1:21" ht="16" x14ac:dyDescent="0.2">
      <c r="A19" s="32">
        <v>2</v>
      </c>
      <c r="B19" s="33" t="s">
        <v>106</v>
      </c>
      <c r="C19" s="33" t="s">
        <v>95</v>
      </c>
      <c r="D19" s="33" t="s">
        <v>96</v>
      </c>
      <c r="E19" s="33" t="s">
        <v>27</v>
      </c>
      <c r="F19" s="33">
        <f>+VLOOKUP(E19,scoring!$U$10:$AA$105,5,FALSE)-72</f>
        <v>-2</v>
      </c>
      <c r="G19" s="33" t="s">
        <v>27</v>
      </c>
      <c r="H19" s="33">
        <f>+VLOOKUP(G19,scoring!$U$10:$AA$105,5,FALSE)-72</f>
        <v>-2</v>
      </c>
      <c r="I19" s="33" t="s">
        <v>20</v>
      </c>
      <c r="J19" s="33">
        <f>+VLOOKUP(I19,scoring!$U$10:$AA$105,5,FALSE)-72</f>
        <v>8</v>
      </c>
      <c r="K19" s="33" t="s">
        <v>20</v>
      </c>
      <c r="L19" s="33">
        <f>+VLOOKUP(K19,scoring!$U$10:$AA$105,5,FALSE)-72</f>
        <v>8</v>
      </c>
      <c r="M19" s="33" t="s">
        <v>22</v>
      </c>
      <c r="N19" s="33">
        <f>+VLOOKUP(M19,scoring!$U$10:$AA$105,5,FALSE)-72</f>
        <v>8</v>
      </c>
      <c r="O19" s="33" t="s">
        <v>22</v>
      </c>
      <c r="P19" s="33">
        <f>+VLOOKUP(O19,scoring!$U$10:$AA$105,5,FALSE)-72</f>
        <v>8</v>
      </c>
      <c r="Q19" s="33" t="s">
        <v>24</v>
      </c>
      <c r="R19" s="33">
        <f>+VLOOKUP(Q19,scoring!$U$10:$AA$105,5,FALSE)-72</f>
        <v>8</v>
      </c>
      <c r="S19" s="33" t="s">
        <v>170</v>
      </c>
      <c r="T19" s="33">
        <f>+VLOOKUP(S19,scoring!$U$10:$AA$105,5,FALSE)-72</f>
        <v>-1</v>
      </c>
      <c r="U19" s="33">
        <f t="shared" si="0"/>
        <v>-5</v>
      </c>
    </row>
    <row r="20" spans="1:21" ht="16" x14ac:dyDescent="0.2">
      <c r="A20" s="32">
        <v>18</v>
      </c>
      <c r="B20" s="33" t="s">
        <v>131</v>
      </c>
      <c r="C20" s="33" t="s">
        <v>45</v>
      </c>
      <c r="D20" s="33" t="s">
        <v>46</v>
      </c>
      <c r="E20" s="33" t="s">
        <v>34</v>
      </c>
      <c r="F20" s="33">
        <f>+VLOOKUP(E20,scoring!$U$10:$AA$105,5,FALSE)-72</f>
        <v>0</v>
      </c>
      <c r="G20" s="33" t="s">
        <v>47</v>
      </c>
      <c r="H20" s="33">
        <f>+VLOOKUP(G20,scoring!$U$10:$AA$105,5,FALSE)-72</f>
        <v>-3</v>
      </c>
      <c r="I20" s="33" t="s">
        <v>27</v>
      </c>
      <c r="J20" s="33">
        <f>+VLOOKUP(I20,scoring!$U$10:$AA$105,5,FALSE)-72</f>
        <v>-2</v>
      </c>
      <c r="K20" s="33" t="s">
        <v>54</v>
      </c>
      <c r="L20" s="33">
        <f>+VLOOKUP(K20,scoring!$U$10:$AA$105,5,FALSE)-72</f>
        <v>0</v>
      </c>
      <c r="M20" s="33" t="s">
        <v>21</v>
      </c>
      <c r="N20" s="33">
        <f>+VLOOKUP(M20,scoring!$U$10:$AA$105,5,FALSE)-72</f>
        <v>8</v>
      </c>
      <c r="O20" s="33" t="s">
        <v>31</v>
      </c>
      <c r="P20" s="33">
        <f>+VLOOKUP(O20,scoring!$U$10:$AA$105,5,FALSE)-72</f>
        <v>2</v>
      </c>
      <c r="Q20" s="33" t="s">
        <v>26</v>
      </c>
      <c r="R20" s="33">
        <f>+VLOOKUP(Q20,scoring!$U$10:$AA$105,5,FALSE)-72</f>
        <v>9</v>
      </c>
      <c r="S20" s="33" t="s">
        <v>26</v>
      </c>
      <c r="T20" s="33">
        <f>+VLOOKUP(S20,scoring!$U$10:$AA$105,5,FALSE)-72</f>
        <v>9</v>
      </c>
      <c r="U20" s="33">
        <f t="shared" si="0"/>
        <v>-5</v>
      </c>
    </row>
    <row r="21" spans="1:21" ht="16" x14ac:dyDescent="0.2">
      <c r="A21" s="32">
        <v>31</v>
      </c>
      <c r="B21" s="33" t="s">
        <v>91</v>
      </c>
      <c r="C21" s="33" t="s">
        <v>92</v>
      </c>
      <c r="D21" s="33" t="s">
        <v>93</v>
      </c>
      <c r="E21" s="33" t="s">
        <v>34</v>
      </c>
      <c r="F21" s="33">
        <f>+VLOOKUP(E21,scoring!$U$10:$AA$105,5,FALSE)-72</f>
        <v>0</v>
      </c>
      <c r="G21" s="33" t="s">
        <v>27</v>
      </c>
      <c r="H21" s="33">
        <f>+VLOOKUP(G21,scoring!$U$10:$AA$105,5,FALSE)-72</f>
        <v>-2</v>
      </c>
      <c r="I21" s="33" t="s">
        <v>20</v>
      </c>
      <c r="J21" s="33">
        <f>+VLOOKUP(I21,scoring!$U$10:$AA$105,5,FALSE)-72</f>
        <v>8</v>
      </c>
      <c r="K21" s="33" t="s">
        <v>74</v>
      </c>
      <c r="L21" s="33">
        <f>+VLOOKUP(K21,scoring!$U$10:$AA$105,5,FALSE)-72</f>
        <v>-3</v>
      </c>
      <c r="M21" s="33" t="s">
        <v>37</v>
      </c>
      <c r="N21" s="33">
        <f>+VLOOKUP(M21,scoring!$U$10:$AA$105,5,FALSE)-72</f>
        <v>7</v>
      </c>
      <c r="O21" s="33" t="s">
        <v>179</v>
      </c>
      <c r="P21" s="33">
        <f>+VLOOKUP(O21,scoring!$U$10:$AA$105,5,FALSE)-72</f>
        <v>4</v>
      </c>
      <c r="Q21" s="33" t="s">
        <v>26</v>
      </c>
      <c r="R21" s="33">
        <f>+VLOOKUP(Q21,scoring!$U$10:$AA$105,5,FALSE)-72</f>
        <v>9</v>
      </c>
      <c r="S21" s="33" t="s">
        <v>26</v>
      </c>
      <c r="T21" s="33">
        <f>+VLOOKUP(S21,scoring!$U$10:$AA$105,5,FALSE)-72</f>
        <v>9</v>
      </c>
      <c r="U21" s="33">
        <f t="shared" si="0"/>
        <v>-5</v>
      </c>
    </row>
    <row r="22" spans="1:21" ht="16" x14ac:dyDescent="0.2">
      <c r="A22" s="32">
        <v>34</v>
      </c>
      <c r="B22" s="33" t="s">
        <v>162</v>
      </c>
      <c r="C22" s="33" t="s">
        <v>156</v>
      </c>
      <c r="D22" s="33" t="s">
        <v>99</v>
      </c>
      <c r="E22" s="33" t="s">
        <v>69</v>
      </c>
      <c r="F22" s="33">
        <f>+VLOOKUP(E22,scoring!$U$10:$AA$105,5,FALSE)-72</f>
        <v>-2</v>
      </c>
      <c r="G22" s="33" t="s">
        <v>75</v>
      </c>
      <c r="H22" s="33">
        <f>+VLOOKUP(G22,scoring!$U$10:$AA$105,5,FALSE)-72</f>
        <v>5</v>
      </c>
      <c r="I22" s="33" t="s">
        <v>50</v>
      </c>
      <c r="J22" s="33">
        <f>+VLOOKUP(I22,scoring!$U$10:$AA$105,5,FALSE)-72</f>
        <v>-1</v>
      </c>
      <c r="K22" s="33" t="s">
        <v>27</v>
      </c>
      <c r="L22" s="33">
        <f>+VLOOKUP(K22,scoring!$U$10:$AA$105,5,FALSE)-72</f>
        <v>-2</v>
      </c>
      <c r="M22" s="33" t="s">
        <v>22</v>
      </c>
      <c r="N22" s="33">
        <f>+VLOOKUP(M22,scoring!$U$10:$AA$105,5,FALSE)-72</f>
        <v>8</v>
      </c>
      <c r="O22" s="33" t="s">
        <v>32</v>
      </c>
      <c r="P22" s="33">
        <f>+VLOOKUP(O22,scoring!$U$10:$AA$105,5,FALSE)-72</f>
        <v>1</v>
      </c>
      <c r="Q22" s="33" t="s">
        <v>28</v>
      </c>
      <c r="R22" s="33">
        <f>+VLOOKUP(Q22,scoring!$U$10:$AA$105,5,FALSE)-72</f>
        <v>1</v>
      </c>
      <c r="S22" s="33" t="s">
        <v>168</v>
      </c>
      <c r="T22" s="33">
        <f>+VLOOKUP(S22,scoring!$U$10:$AA$105,5,FALSE)-72</f>
        <v>8</v>
      </c>
      <c r="U22" s="33">
        <f t="shared" si="0"/>
        <v>-5</v>
      </c>
    </row>
    <row r="23" spans="1:21" ht="16" x14ac:dyDescent="0.2">
      <c r="A23" s="32">
        <v>16</v>
      </c>
      <c r="B23" s="33" t="s">
        <v>127</v>
      </c>
      <c r="C23" s="33" t="s">
        <v>80</v>
      </c>
      <c r="D23" s="33" t="s">
        <v>81</v>
      </c>
      <c r="E23" s="33" t="s">
        <v>34</v>
      </c>
      <c r="F23" s="33">
        <f>+VLOOKUP(E23,scoring!$U$10:$AA$105,5,FALSE)-72</f>
        <v>0</v>
      </c>
      <c r="G23" s="33" t="s">
        <v>34</v>
      </c>
      <c r="H23" s="33">
        <f>+VLOOKUP(G23,scoring!$U$10:$AA$105,5,FALSE)-72</f>
        <v>0</v>
      </c>
      <c r="I23" s="33" t="s">
        <v>34</v>
      </c>
      <c r="J23" s="33">
        <f>+VLOOKUP(I23,scoring!$U$10:$AA$105,5,FALSE)-72</f>
        <v>0</v>
      </c>
      <c r="K23" s="33" t="s">
        <v>54</v>
      </c>
      <c r="L23" s="33">
        <f>+VLOOKUP(K23,scoring!$U$10:$AA$105,5,FALSE)-72</f>
        <v>0</v>
      </c>
      <c r="M23" s="33" t="s">
        <v>25</v>
      </c>
      <c r="N23" s="33">
        <f>+VLOOKUP(M23,scoring!$U$10:$AA$105,5,FALSE)-72</f>
        <v>-3</v>
      </c>
      <c r="O23" s="33" t="s">
        <v>26</v>
      </c>
      <c r="P23" s="33">
        <f>+VLOOKUP(O23,scoring!$U$10:$AA$105,5,FALSE)-72</f>
        <v>9</v>
      </c>
      <c r="Q23" s="33" t="s">
        <v>26</v>
      </c>
      <c r="R23" s="33">
        <f>+VLOOKUP(Q23,scoring!$U$10:$AA$105,5,FALSE)-72</f>
        <v>9</v>
      </c>
      <c r="S23" s="33" t="s">
        <v>26</v>
      </c>
      <c r="T23" s="33">
        <f>+VLOOKUP(S23,scoring!$U$10:$AA$105,5,FALSE)-72</f>
        <v>9</v>
      </c>
      <c r="U23" s="33">
        <f t="shared" si="0"/>
        <v>-3</v>
      </c>
    </row>
    <row r="24" spans="1:21" ht="16" x14ac:dyDescent="0.2">
      <c r="A24" s="32">
        <v>17</v>
      </c>
      <c r="B24" s="33" t="s">
        <v>128</v>
      </c>
      <c r="C24" s="33" t="s">
        <v>129</v>
      </c>
      <c r="D24" s="33" t="s">
        <v>130</v>
      </c>
      <c r="E24" s="33" t="s">
        <v>15</v>
      </c>
      <c r="F24" s="33">
        <f>+VLOOKUP(E24,scoring!$U$10:$AA$105,5,FALSE)-72</f>
        <v>-3</v>
      </c>
      <c r="G24" s="33" t="s">
        <v>54</v>
      </c>
      <c r="H24" s="33">
        <f>+VLOOKUP(G24,scoring!$U$10:$AA$105,5,FALSE)-72</f>
        <v>0</v>
      </c>
      <c r="I24" s="33" t="s">
        <v>26</v>
      </c>
      <c r="J24" s="33">
        <f>+VLOOKUP(I24,scoring!$U$10:$AA$105,5,FALSE)-72</f>
        <v>9</v>
      </c>
      <c r="K24" s="33" t="s">
        <v>41</v>
      </c>
      <c r="L24" s="33">
        <f>+VLOOKUP(K24,scoring!$U$10:$AA$105,5,FALSE)-72</f>
        <v>8</v>
      </c>
      <c r="M24" s="33" t="s">
        <v>34</v>
      </c>
      <c r="N24" s="33">
        <f>+VLOOKUP(M24,scoring!$U$10:$AA$105,5,FALSE)-72</f>
        <v>0</v>
      </c>
      <c r="O24" s="33" t="s">
        <v>37</v>
      </c>
      <c r="P24" s="33">
        <f>+VLOOKUP(O24,scoring!$U$10:$AA$105,5,FALSE)-72</f>
        <v>7</v>
      </c>
      <c r="Q24" s="33" t="s">
        <v>167</v>
      </c>
      <c r="R24" s="33">
        <f>+VLOOKUP(Q24,scoring!$U$10:$AA$105,5,FALSE)-72</f>
        <v>2</v>
      </c>
      <c r="S24" s="33" t="s">
        <v>26</v>
      </c>
      <c r="T24" s="33">
        <f>+VLOOKUP(S24,scoring!$U$10:$AA$105,5,FALSE)-72</f>
        <v>9</v>
      </c>
      <c r="U24" s="33">
        <f t="shared" si="0"/>
        <v>-3</v>
      </c>
    </row>
    <row r="25" spans="1:21" ht="16" x14ac:dyDescent="0.2">
      <c r="A25" s="32">
        <v>20</v>
      </c>
      <c r="B25" s="33" t="s">
        <v>132</v>
      </c>
      <c r="C25" s="33" t="s">
        <v>134</v>
      </c>
      <c r="D25" s="33" t="s">
        <v>136</v>
      </c>
      <c r="E25" s="33" t="s">
        <v>34</v>
      </c>
      <c r="F25" s="33">
        <f>+VLOOKUP(E25,scoring!$U$10:$AA$105,5,FALSE)-72</f>
        <v>0</v>
      </c>
      <c r="G25" s="33" t="s">
        <v>34</v>
      </c>
      <c r="H25" s="33">
        <f>+VLOOKUP(G25,scoring!$U$10:$AA$105,5,FALSE)-72</f>
        <v>0</v>
      </c>
      <c r="I25" s="33" t="s">
        <v>34</v>
      </c>
      <c r="J25" s="33">
        <f>+VLOOKUP(I25,scoring!$U$10:$AA$105,5,FALSE)-72</f>
        <v>0</v>
      </c>
      <c r="K25" s="33" t="s">
        <v>54</v>
      </c>
      <c r="L25" s="33">
        <f>+VLOOKUP(K25,scoring!$U$10:$AA$105,5,FALSE)-72</f>
        <v>0</v>
      </c>
      <c r="M25" s="33" t="s">
        <v>25</v>
      </c>
      <c r="N25" s="33">
        <f>+VLOOKUP(M25,scoring!$U$10:$AA$105,5,FALSE)-72</f>
        <v>-3</v>
      </c>
      <c r="O25" s="33" t="s">
        <v>26</v>
      </c>
      <c r="P25" s="33">
        <f>+VLOOKUP(O25,scoring!$U$10:$AA$105,5,FALSE)-72</f>
        <v>9</v>
      </c>
      <c r="Q25" s="33" t="s">
        <v>26</v>
      </c>
      <c r="R25" s="33">
        <f>+VLOOKUP(Q25,scoring!$U$10:$AA$105,5,FALSE)-72</f>
        <v>9</v>
      </c>
      <c r="S25" s="33" t="s">
        <v>26</v>
      </c>
      <c r="T25" s="33">
        <f>+VLOOKUP(S25,scoring!$U$10:$AA$105,5,FALSE)-72</f>
        <v>9</v>
      </c>
      <c r="U25" s="33">
        <f t="shared" si="0"/>
        <v>-3</v>
      </c>
    </row>
    <row r="26" spans="1:21" ht="16" x14ac:dyDescent="0.2">
      <c r="A26" s="32">
        <v>21</v>
      </c>
      <c r="B26" s="33" t="s">
        <v>137</v>
      </c>
      <c r="C26" s="33" t="s">
        <v>35</v>
      </c>
      <c r="D26" s="33" t="s">
        <v>36</v>
      </c>
      <c r="E26" s="33" t="s">
        <v>15</v>
      </c>
      <c r="F26" s="33">
        <f>+VLOOKUP(E26,scoring!$U$10:$AA$105,5,FALSE)-72</f>
        <v>-3</v>
      </c>
      <c r="G26" s="33" t="s">
        <v>34</v>
      </c>
      <c r="H26" s="33">
        <f>+VLOOKUP(G26,scoring!$U$10:$AA$105,5,FALSE)-72</f>
        <v>0</v>
      </c>
      <c r="I26" s="33" t="s">
        <v>54</v>
      </c>
      <c r="J26" s="33">
        <f>+VLOOKUP(I26,scoring!$U$10:$AA$105,5,FALSE)-72</f>
        <v>0</v>
      </c>
      <c r="K26" s="33" t="s">
        <v>75</v>
      </c>
      <c r="L26" s="33">
        <f>+VLOOKUP(K26,scoring!$U$10:$AA$105,5,FALSE)-72</f>
        <v>5</v>
      </c>
      <c r="M26" s="33" t="s">
        <v>23</v>
      </c>
      <c r="N26" s="33">
        <f>+VLOOKUP(M26,scoring!$U$10:$AA$105,5,FALSE)-72</f>
        <v>8</v>
      </c>
      <c r="O26" s="33" t="s">
        <v>51</v>
      </c>
      <c r="P26" s="33">
        <f>+VLOOKUP(O26,scoring!$U$10:$AA$105,5,FALSE)-72</f>
        <v>3</v>
      </c>
      <c r="Q26" s="33" t="s">
        <v>64</v>
      </c>
      <c r="R26" s="33">
        <f>+VLOOKUP(Q26,scoring!$U$10:$AA$105,5,FALSE)-72</f>
        <v>8</v>
      </c>
      <c r="S26" s="33" t="s">
        <v>64</v>
      </c>
      <c r="T26" s="33">
        <f>+VLOOKUP(S26,scoring!$U$10:$AA$105,5,FALSE)-72</f>
        <v>8</v>
      </c>
      <c r="U26" s="33">
        <f t="shared" si="0"/>
        <v>-3</v>
      </c>
    </row>
    <row r="27" spans="1:21" ht="16" x14ac:dyDescent="0.2">
      <c r="A27" s="32">
        <v>22</v>
      </c>
      <c r="B27" s="33" t="s">
        <v>138</v>
      </c>
      <c r="C27" s="33" t="s">
        <v>98</v>
      </c>
      <c r="D27" s="33" t="s">
        <v>99</v>
      </c>
      <c r="E27" s="33" t="s">
        <v>34</v>
      </c>
      <c r="F27" s="33">
        <f>+VLOOKUP(E27,scoring!$U$10:$AA$105,5,FALSE)-72</f>
        <v>0</v>
      </c>
      <c r="G27" s="33" t="s">
        <v>37</v>
      </c>
      <c r="H27" s="33">
        <f>+VLOOKUP(G27,scoring!$U$10:$AA$105,5,FALSE)-72</f>
        <v>7</v>
      </c>
      <c r="I27" s="33" t="s">
        <v>54</v>
      </c>
      <c r="J27" s="33">
        <f>+VLOOKUP(I27,scoring!$U$10:$AA$105,5,FALSE)-72</f>
        <v>0</v>
      </c>
      <c r="K27" s="33" t="s">
        <v>44</v>
      </c>
      <c r="L27" s="33">
        <f>+VLOOKUP(K27,scoring!$U$10:$AA$105,5,FALSE)-72</f>
        <v>1</v>
      </c>
      <c r="M27" s="33" t="s">
        <v>75</v>
      </c>
      <c r="N27" s="33">
        <f>+VLOOKUP(M27,scoring!$U$10:$AA$105,5,FALSE)-72</f>
        <v>5</v>
      </c>
      <c r="O27" s="33" t="s">
        <v>38</v>
      </c>
      <c r="P27" s="33">
        <f>+VLOOKUP(O27,scoring!$U$10:$AA$105,5,FALSE)-72</f>
        <v>-2</v>
      </c>
      <c r="Q27" s="33" t="s">
        <v>22</v>
      </c>
      <c r="R27" s="33">
        <f>+VLOOKUP(Q27,scoring!$U$10:$AA$105,5,FALSE)-72</f>
        <v>8</v>
      </c>
      <c r="S27" s="33" t="s">
        <v>50</v>
      </c>
      <c r="T27" s="33">
        <f>+VLOOKUP(S27,scoring!$U$10:$AA$105,5,FALSE)-72</f>
        <v>-1</v>
      </c>
      <c r="U27" s="33">
        <f t="shared" si="0"/>
        <v>-3</v>
      </c>
    </row>
    <row r="28" spans="1:21" ht="16" x14ac:dyDescent="0.2">
      <c r="A28" s="32">
        <v>28</v>
      </c>
      <c r="B28" s="33" t="s">
        <v>148</v>
      </c>
      <c r="C28" s="33" t="s">
        <v>82</v>
      </c>
      <c r="D28" s="33" t="s">
        <v>83</v>
      </c>
      <c r="E28" s="33" t="s">
        <v>34</v>
      </c>
      <c r="F28" s="33">
        <f>+VLOOKUP(E28,scoring!$U$10:$AA$105,5,FALSE)-72</f>
        <v>0</v>
      </c>
      <c r="G28" s="33" t="s">
        <v>34</v>
      </c>
      <c r="H28" s="33">
        <f>+VLOOKUP(G28,scoring!$U$10:$AA$105,5,FALSE)-72</f>
        <v>0</v>
      </c>
      <c r="I28" s="33" t="s">
        <v>47</v>
      </c>
      <c r="J28" s="33">
        <f>+VLOOKUP(I28,scoring!$U$10:$AA$105,5,FALSE)-72</f>
        <v>-3</v>
      </c>
      <c r="K28" s="33" t="s">
        <v>44</v>
      </c>
      <c r="L28" s="33">
        <f>+VLOOKUP(K28,scoring!$U$10:$AA$105,5,FALSE)-72</f>
        <v>1</v>
      </c>
      <c r="M28" s="33" t="s">
        <v>94</v>
      </c>
      <c r="N28" s="33">
        <f>+VLOOKUP(M28,scoring!$U$10:$AA$105,5,FALSE)-72</f>
        <v>8</v>
      </c>
      <c r="O28" s="33" t="s">
        <v>178</v>
      </c>
      <c r="P28" s="33">
        <f>+VLOOKUP(O28,scoring!$U$10:$AA$105,5,FALSE)-72</f>
        <v>8</v>
      </c>
      <c r="Q28" s="33" t="s">
        <v>26</v>
      </c>
      <c r="R28" s="33">
        <f>+VLOOKUP(Q28,scoring!$U$10:$AA$105,5,FALSE)-72</f>
        <v>9</v>
      </c>
      <c r="S28" s="33" t="s">
        <v>26</v>
      </c>
      <c r="T28" s="33">
        <f>+VLOOKUP(S28,scoring!$U$10:$AA$105,5,FALSE)-72</f>
        <v>9</v>
      </c>
      <c r="U28" s="33">
        <f t="shared" si="0"/>
        <v>-3</v>
      </c>
    </row>
    <row r="29" spans="1:21" ht="16" x14ac:dyDescent="0.2">
      <c r="A29" s="32">
        <v>37</v>
      </c>
      <c r="B29" s="33" t="s">
        <v>160</v>
      </c>
      <c r="C29" s="33" t="s">
        <v>157</v>
      </c>
      <c r="D29" s="33" t="s">
        <v>158</v>
      </c>
      <c r="E29" s="33" t="s">
        <v>43</v>
      </c>
      <c r="F29" s="33">
        <f>+VLOOKUP(E29,scoring!$U$10:$AA$105,5,FALSE)-72</f>
        <v>-6</v>
      </c>
      <c r="G29" s="33" t="s">
        <v>58</v>
      </c>
      <c r="H29" s="33">
        <f>+VLOOKUP(G29,scoring!$U$10:$AA$105,5,FALSE)-72</f>
        <v>3</v>
      </c>
      <c r="I29" s="33" t="s">
        <v>54</v>
      </c>
      <c r="J29" s="33">
        <f>+VLOOKUP(I29,scoring!$U$10:$AA$105,5,FALSE)-72</f>
        <v>0</v>
      </c>
      <c r="K29" s="33" t="s">
        <v>22</v>
      </c>
      <c r="L29" s="33">
        <f>+VLOOKUP(K29,scoring!$U$10:$AA$105,5,FALSE)-72</f>
        <v>8</v>
      </c>
      <c r="M29" s="33" t="s">
        <v>168</v>
      </c>
      <c r="N29" s="33">
        <f>+VLOOKUP(M29,scoring!$U$10:$AA$105,5,FALSE)-72</f>
        <v>8</v>
      </c>
      <c r="O29" s="33" t="s">
        <v>26</v>
      </c>
      <c r="P29" s="33">
        <f>+VLOOKUP(O29,scoring!$U$10:$AA$105,5,FALSE)-72</f>
        <v>9</v>
      </c>
      <c r="Q29" s="33" t="s">
        <v>26</v>
      </c>
      <c r="R29" s="33">
        <f>+VLOOKUP(Q29,scoring!$U$10:$AA$105,5,FALSE)-72</f>
        <v>9</v>
      </c>
      <c r="S29" s="33" t="s">
        <v>26</v>
      </c>
      <c r="T29" s="33">
        <f>+VLOOKUP(S29,scoring!$U$10:$AA$105,5,FALSE)-72</f>
        <v>9</v>
      </c>
      <c r="U29" s="33">
        <f t="shared" si="0"/>
        <v>-3</v>
      </c>
    </row>
    <row r="30" spans="1:21" ht="16" x14ac:dyDescent="0.2">
      <c r="A30" s="32">
        <v>4</v>
      </c>
      <c r="B30" s="33" t="s">
        <v>110</v>
      </c>
      <c r="C30" s="33" t="s">
        <v>77</v>
      </c>
      <c r="D30" s="33" t="s">
        <v>78</v>
      </c>
      <c r="E30" s="33" t="s">
        <v>15</v>
      </c>
      <c r="F30" s="33">
        <f>+VLOOKUP(E30,scoring!$U$10:$AA$105,5,FALSE)-72</f>
        <v>-3</v>
      </c>
      <c r="G30" s="33" t="s">
        <v>33</v>
      </c>
      <c r="H30" s="33">
        <f>+VLOOKUP(G30,scoring!$U$10:$AA$105,5,FALSE)-72</f>
        <v>4</v>
      </c>
      <c r="I30" s="33" t="s">
        <v>37</v>
      </c>
      <c r="J30" s="33">
        <f>+VLOOKUP(I30,scoring!$U$10:$AA$105,5,FALSE)-72</f>
        <v>7</v>
      </c>
      <c r="K30" s="33" t="s">
        <v>41</v>
      </c>
      <c r="L30" s="33">
        <f>+VLOOKUP(K30,scoring!$U$10:$AA$105,5,FALSE)-72</f>
        <v>8</v>
      </c>
      <c r="M30" s="33" t="s">
        <v>42</v>
      </c>
      <c r="N30" s="33">
        <f>+VLOOKUP(M30,scoring!$U$10:$AA$105,5,FALSE)-72</f>
        <v>3</v>
      </c>
      <c r="O30" s="33" t="s">
        <v>42</v>
      </c>
      <c r="P30" s="33">
        <f>+VLOOKUP(O30,scoring!$U$10:$AA$105,5,FALSE)-72</f>
        <v>3</v>
      </c>
      <c r="Q30" s="33" t="s">
        <v>38</v>
      </c>
      <c r="R30" s="33">
        <f>+VLOOKUP(Q30,scoring!$U$10:$AA$105,5,FALSE)-72</f>
        <v>-2</v>
      </c>
      <c r="S30" s="33" t="s">
        <v>171</v>
      </c>
      <c r="T30" s="33">
        <f>+VLOOKUP(S30,scoring!$U$10:$AA$105,5,FALSE)-72</f>
        <v>8</v>
      </c>
      <c r="U30" s="33">
        <f t="shared" si="0"/>
        <v>-2</v>
      </c>
    </row>
    <row r="31" spans="1:21" ht="16" x14ac:dyDescent="0.2">
      <c r="A31" s="32">
        <v>10</v>
      </c>
      <c r="B31" s="33" t="s">
        <v>119</v>
      </c>
      <c r="C31" s="33" t="s">
        <v>117</v>
      </c>
      <c r="D31" s="33" t="s">
        <v>118</v>
      </c>
      <c r="E31" s="33" t="s">
        <v>43</v>
      </c>
      <c r="F31" s="33">
        <f>+VLOOKUP(E31,scoring!$U$10:$AA$105,5,FALSE)-72</f>
        <v>-6</v>
      </c>
      <c r="G31" s="33" t="s">
        <v>58</v>
      </c>
      <c r="H31" s="33">
        <f>+VLOOKUP(G31,scoring!$U$10:$AA$105,5,FALSE)-72</f>
        <v>3</v>
      </c>
      <c r="I31" s="33" t="s">
        <v>32</v>
      </c>
      <c r="J31" s="33">
        <f>+VLOOKUP(I31,scoring!$U$10:$AA$105,5,FALSE)-72</f>
        <v>1</v>
      </c>
      <c r="K31" s="33" t="s">
        <v>75</v>
      </c>
      <c r="L31" s="33">
        <f>+VLOOKUP(K31,scoring!$U$10:$AA$105,5,FALSE)-72</f>
        <v>5</v>
      </c>
      <c r="M31" s="33" t="s">
        <v>178</v>
      </c>
      <c r="N31" s="33">
        <f>+VLOOKUP(M31,scoring!$U$10:$AA$105,5,FALSE)-72</f>
        <v>8</v>
      </c>
      <c r="O31" s="33" t="s">
        <v>26</v>
      </c>
      <c r="P31" s="33">
        <f>+VLOOKUP(O31,scoring!$U$10:$AA$105,5,FALSE)-72</f>
        <v>9</v>
      </c>
      <c r="Q31" s="33" t="s">
        <v>26</v>
      </c>
      <c r="R31" s="33">
        <f>+VLOOKUP(Q31,scoring!$U$10:$AA$105,5,FALSE)-72</f>
        <v>9</v>
      </c>
      <c r="S31" s="33" t="s">
        <v>26</v>
      </c>
      <c r="T31" s="33">
        <f>+VLOOKUP(S31,scoring!$U$10:$AA$105,5,FALSE)-72</f>
        <v>9</v>
      </c>
      <c r="U31" s="33">
        <f t="shared" si="0"/>
        <v>-2</v>
      </c>
    </row>
    <row r="32" spans="1:21" ht="16" x14ac:dyDescent="0.2">
      <c r="A32" s="32">
        <v>32</v>
      </c>
      <c r="B32" s="33" t="s">
        <v>153</v>
      </c>
      <c r="C32" s="33" t="s">
        <v>89</v>
      </c>
      <c r="D32" s="33" t="s">
        <v>90</v>
      </c>
      <c r="E32" s="33" t="s">
        <v>34</v>
      </c>
      <c r="F32" s="33">
        <f>+VLOOKUP(E32,scoring!$U$10:$AA$105,5,FALSE)-72</f>
        <v>0</v>
      </c>
      <c r="G32" s="33" t="s">
        <v>32</v>
      </c>
      <c r="H32" s="33">
        <f>+VLOOKUP(G32,scoring!$U$10:$AA$105,5,FALSE)-72</f>
        <v>1</v>
      </c>
      <c r="I32" s="33" t="s">
        <v>41</v>
      </c>
      <c r="J32" s="33">
        <f>+VLOOKUP(I32,scoring!$U$10:$AA$105,5,FALSE)-72</f>
        <v>8</v>
      </c>
      <c r="K32" s="33" t="s">
        <v>94</v>
      </c>
      <c r="L32" s="33">
        <f>+VLOOKUP(K32,scoring!$U$10:$AA$105,5,FALSE)-72</f>
        <v>8</v>
      </c>
      <c r="M32" s="33" t="s">
        <v>28</v>
      </c>
      <c r="N32" s="33">
        <f>+VLOOKUP(M32,scoring!$U$10:$AA$105,5,FALSE)-72</f>
        <v>1</v>
      </c>
      <c r="O32" s="33" t="s">
        <v>169</v>
      </c>
      <c r="P32" s="33">
        <f>+VLOOKUP(O32,scoring!$U$10:$AA$105,5,FALSE)-72</f>
        <v>-2</v>
      </c>
      <c r="Q32" s="33" t="s">
        <v>34</v>
      </c>
      <c r="R32" s="33">
        <f>+VLOOKUP(Q32,scoring!$U$10:$AA$105,5,FALSE)-72</f>
        <v>0</v>
      </c>
      <c r="S32" s="33" t="s">
        <v>94</v>
      </c>
      <c r="T32" s="33">
        <f>+VLOOKUP(S32,scoring!$U$10:$AA$105,5,FALSE)-72</f>
        <v>8</v>
      </c>
      <c r="U32" s="33">
        <f t="shared" si="0"/>
        <v>-2</v>
      </c>
    </row>
    <row r="33" spans="1:21" ht="16" x14ac:dyDescent="0.2">
      <c r="A33" s="32">
        <v>27</v>
      </c>
      <c r="B33" s="33" t="s">
        <v>147</v>
      </c>
      <c r="C33" s="33" t="s">
        <v>86</v>
      </c>
      <c r="D33" s="33" t="s">
        <v>57</v>
      </c>
      <c r="E33" s="33" t="s">
        <v>55</v>
      </c>
      <c r="F33" s="33">
        <f>+VLOOKUP(E33,scoring!$U$10:$AA$105,5,FALSE)-72</f>
        <v>5</v>
      </c>
      <c r="G33" s="33" t="s">
        <v>55</v>
      </c>
      <c r="H33" s="33">
        <f>+VLOOKUP(G33,scoring!$U$10:$AA$105,5,FALSE)-72</f>
        <v>5</v>
      </c>
      <c r="I33" s="33" t="s">
        <v>54</v>
      </c>
      <c r="J33" s="33">
        <f>+VLOOKUP(I33,scoring!$U$10:$AA$105,5,FALSE)-72</f>
        <v>0</v>
      </c>
      <c r="K33" s="33" t="s">
        <v>43</v>
      </c>
      <c r="L33" s="33">
        <f>+VLOOKUP(K33,scoring!$U$10:$AA$105,5,FALSE)-72</f>
        <v>-6</v>
      </c>
      <c r="M33" s="33" t="s">
        <v>75</v>
      </c>
      <c r="N33" s="33">
        <f>+VLOOKUP(M33,scoring!$U$10:$AA$105,5,FALSE)-72</f>
        <v>5</v>
      </c>
      <c r="O33" s="33" t="s">
        <v>55</v>
      </c>
      <c r="P33" s="33">
        <f>+VLOOKUP(O33,scoring!$U$10:$AA$105,5,FALSE)-72</f>
        <v>5</v>
      </c>
      <c r="Q33" s="33" t="s">
        <v>26</v>
      </c>
      <c r="R33" s="33">
        <f>+VLOOKUP(Q33,scoring!$U$10:$AA$105,5,FALSE)-72</f>
        <v>9</v>
      </c>
      <c r="S33" s="33" t="s">
        <v>26</v>
      </c>
      <c r="T33" s="33">
        <f>+VLOOKUP(S33,scoring!$U$10:$AA$105,5,FALSE)-72</f>
        <v>9</v>
      </c>
      <c r="U33" s="33">
        <f t="shared" si="0"/>
        <v>-1</v>
      </c>
    </row>
    <row r="34" spans="1:21" ht="16" x14ac:dyDescent="0.2">
      <c r="A34" s="32">
        <v>19</v>
      </c>
      <c r="B34" s="33" t="s">
        <v>133</v>
      </c>
      <c r="C34" s="33" t="s">
        <v>134</v>
      </c>
      <c r="D34" s="33" t="s">
        <v>135</v>
      </c>
      <c r="E34" s="33" t="s">
        <v>43</v>
      </c>
      <c r="F34" s="33">
        <f>+VLOOKUP(E34,scoring!$U$10:$AA$105,5,FALSE)-72</f>
        <v>-6</v>
      </c>
      <c r="G34" s="33" t="s">
        <v>75</v>
      </c>
      <c r="H34" s="33">
        <f>+VLOOKUP(G34,scoring!$U$10:$AA$105,5,FALSE)-72</f>
        <v>5</v>
      </c>
      <c r="I34" s="33" t="s">
        <v>75</v>
      </c>
      <c r="J34" s="33">
        <f>+VLOOKUP(I34,scoring!$U$10:$AA$105,5,FALSE)-72</f>
        <v>5</v>
      </c>
      <c r="K34" s="33" t="s">
        <v>42</v>
      </c>
      <c r="L34" s="33">
        <f>+VLOOKUP(K34,scoring!$U$10:$AA$105,5,FALSE)-72</f>
        <v>3</v>
      </c>
      <c r="M34" s="33" t="s">
        <v>42</v>
      </c>
      <c r="N34" s="33">
        <f>+VLOOKUP(M34,scoring!$U$10:$AA$105,5,FALSE)-72</f>
        <v>3</v>
      </c>
      <c r="O34" s="33" t="s">
        <v>51</v>
      </c>
      <c r="P34" s="33">
        <f>+VLOOKUP(O34,scoring!$U$10:$AA$105,5,FALSE)-72</f>
        <v>3</v>
      </c>
      <c r="Q34" s="33" t="s">
        <v>26</v>
      </c>
      <c r="R34" s="33">
        <f>+VLOOKUP(Q34,scoring!$U$10:$AA$105,5,FALSE)-72</f>
        <v>9</v>
      </c>
      <c r="S34" s="33" t="s">
        <v>26</v>
      </c>
      <c r="T34" s="33">
        <f>+VLOOKUP(S34,scoring!$U$10:$AA$105,5,FALSE)-72</f>
        <v>9</v>
      </c>
      <c r="U34" s="33">
        <f t="shared" si="0"/>
        <v>0</v>
      </c>
    </row>
    <row r="35" spans="1:21" ht="16" x14ac:dyDescent="0.2">
      <c r="A35" s="32">
        <v>24</v>
      </c>
      <c r="B35" s="33" t="s">
        <v>140</v>
      </c>
      <c r="C35" s="33" t="s">
        <v>141</v>
      </c>
      <c r="D35" s="33" t="s">
        <v>143</v>
      </c>
      <c r="E35" s="33" t="s">
        <v>43</v>
      </c>
      <c r="F35" s="33">
        <f>+VLOOKUP(E35,scoring!$U$10:$AA$105,5,FALSE)-72</f>
        <v>-6</v>
      </c>
      <c r="G35" s="33" t="s">
        <v>14</v>
      </c>
      <c r="H35" s="33">
        <f>+VLOOKUP(G35,scoring!$U$10:$AA$105,5,FALSE)-72</f>
        <v>-2</v>
      </c>
      <c r="I35" s="33" t="s">
        <v>20</v>
      </c>
      <c r="J35" s="33">
        <f>+VLOOKUP(I35,scoring!$U$10:$AA$105,5,FALSE)-72</f>
        <v>8</v>
      </c>
      <c r="K35" s="33" t="s">
        <v>61</v>
      </c>
      <c r="L35" s="33">
        <f>+VLOOKUP(K35,scoring!$U$10:$AA$105,5,FALSE)-72</f>
        <v>8</v>
      </c>
      <c r="M35" s="33" t="s">
        <v>26</v>
      </c>
      <c r="N35" s="33">
        <f>+VLOOKUP(M35,scoring!$U$10:$AA$105,5,FALSE)-72</f>
        <v>9</v>
      </c>
      <c r="O35" s="33" t="s">
        <v>26</v>
      </c>
      <c r="P35" s="33">
        <f>+VLOOKUP(O35,scoring!$U$10:$AA$105,5,FALSE)-72</f>
        <v>9</v>
      </c>
      <c r="Q35" s="33" t="s">
        <v>26</v>
      </c>
      <c r="R35" s="33">
        <f>+VLOOKUP(Q35,scoring!$U$10:$AA$105,5,FALSE)-72</f>
        <v>9</v>
      </c>
      <c r="S35" s="33" t="s">
        <v>26</v>
      </c>
      <c r="T35" s="33">
        <f>+VLOOKUP(S35,scoring!$U$10:$AA$105,5,FALSE)-72</f>
        <v>9</v>
      </c>
      <c r="U35" s="33">
        <f t="shared" si="0"/>
        <v>0</v>
      </c>
    </row>
    <row r="36" spans="1:21" ht="16" x14ac:dyDescent="0.2">
      <c r="A36" s="32">
        <v>25</v>
      </c>
      <c r="B36" s="33" t="s">
        <v>144</v>
      </c>
      <c r="C36" s="33" t="s">
        <v>48</v>
      </c>
      <c r="D36" s="33" t="s">
        <v>49</v>
      </c>
      <c r="E36" s="33" t="s">
        <v>27</v>
      </c>
      <c r="F36" s="33">
        <f>+VLOOKUP(E36,scoring!$U$10:$AA$105,5,FALSE)-72</f>
        <v>-2</v>
      </c>
      <c r="G36" s="33" t="s">
        <v>33</v>
      </c>
      <c r="H36" s="33">
        <f>+VLOOKUP(G36,scoring!$U$10:$AA$105,5,FALSE)-72</f>
        <v>4</v>
      </c>
      <c r="I36" s="33" t="s">
        <v>41</v>
      </c>
      <c r="J36" s="33">
        <f>+VLOOKUP(I36,scoring!$U$10:$AA$105,5,FALSE)-72</f>
        <v>8</v>
      </c>
      <c r="K36" s="33" t="s">
        <v>75</v>
      </c>
      <c r="L36" s="33">
        <f>+VLOOKUP(K36,scoring!$U$10:$AA$105,5,FALSE)-72</f>
        <v>5</v>
      </c>
      <c r="M36" s="33" t="s">
        <v>34</v>
      </c>
      <c r="N36" s="33">
        <f>+VLOOKUP(M36,scoring!$U$10:$AA$105,5,FALSE)-72</f>
        <v>0</v>
      </c>
      <c r="O36" s="33" t="s">
        <v>16</v>
      </c>
      <c r="P36" s="33">
        <f>+VLOOKUP(O36,scoring!$U$10:$AA$105,5,FALSE)-72</f>
        <v>8</v>
      </c>
      <c r="Q36" s="33" t="s">
        <v>168</v>
      </c>
      <c r="R36" s="33">
        <f>+VLOOKUP(Q36,scoring!$U$10:$AA$105,5,FALSE)-72</f>
        <v>8</v>
      </c>
      <c r="S36" s="33" t="s">
        <v>26</v>
      </c>
      <c r="T36" s="33">
        <f>+VLOOKUP(S36,scoring!$U$10:$AA$105,5,FALSE)-72</f>
        <v>9</v>
      </c>
      <c r="U36" s="33">
        <f t="shared" si="0"/>
        <v>2</v>
      </c>
    </row>
    <row r="37" spans="1:21" ht="16" x14ac:dyDescent="0.2">
      <c r="A37" s="32">
        <v>26</v>
      </c>
      <c r="B37" s="33" t="s">
        <v>145</v>
      </c>
      <c r="C37" s="33" t="s">
        <v>67</v>
      </c>
      <c r="D37" s="33" t="s">
        <v>68</v>
      </c>
      <c r="E37" s="33" t="s">
        <v>69</v>
      </c>
      <c r="F37" s="33">
        <f>+VLOOKUP(E37,scoring!$U$10:$AA$105,5,FALSE)-72</f>
        <v>-2</v>
      </c>
      <c r="G37" s="33" t="s">
        <v>15</v>
      </c>
      <c r="H37" s="33">
        <f>+VLOOKUP(G37,scoring!$U$10:$AA$105,5,FALSE)-72</f>
        <v>-3</v>
      </c>
      <c r="I37" s="33" t="s">
        <v>37</v>
      </c>
      <c r="J37" s="33">
        <f>+VLOOKUP(I37,scoring!$U$10:$AA$105,5,FALSE)-72</f>
        <v>7</v>
      </c>
      <c r="K37" s="33" t="s">
        <v>20</v>
      </c>
      <c r="L37" s="33">
        <f>+VLOOKUP(K37,scoring!$U$10:$AA$105,5,FALSE)-72</f>
        <v>8</v>
      </c>
      <c r="M37" s="33" t="s">
        <v>23</v>
      </c>
      <c r="N37" s="33">
        <f>+VLOOKUP(M37,scoring!$U$10:$AA$105,5,FALSE)-72</f>
        <v>8</v>
      </c>
      <c r="O37" s="33" t="s">
        <v>26</v>
      </c>
      <c r="P37" s="33">
        <f>+VLOOKUP(O37,scoring!$U$10:$AA$105,5,FALSE)-72</f>
        <v>9</v>
      </c>
      <c r="Q37" s="33" t="s">
        <v>26</v>
      </c>
      <c r="R37" s="33">
        <f>+VLOOKUP(Q37,scoring!$U$10:$AA$105,5,FALSE)-72</f>
        <v>9</v>
      </c>
      <c r="S37" s="33" t="s">
        <v>26</v>
      </c>
      <c r="T37" s="33">
        <f>+VLOOKUP(S37,scoring!$U$10:$AA$105,5,FALSE)-72</f>
        <v>9</v>
      </c>
      <c r="U37" s="33">
        <f t="shared" si="0"/>
        <v>2</v>
      </c>
    </row>
    <row r="38" spans="1:21" ht="16" x14ac:dyDescent="0.2">
      <c r="A38" s="32">
        <v>5</v>
      </c>
      <c r="B38" s="33" t="s">
        <v>146</v>
      </c>
      <c r="C38" s="33" t="s">
        <v>59</v>
      </c>
      <c r="D38" s="33" t="s">
        <v>60</v>
      </c>
      <c r="E38" s="33" t="s">
        <v>33</v>
      </c>
      <c r="F38" s="33">
        <f>+VLOOKUP(E38,scoring!$U$10:$AA$105,5,FALSE)-72</f>
        <v>4</v>
      </c>
      <c r="G38" s="33" t="s">
        <v>33</v>
      </c>
      <c r="H38" s="33">
        <f>+VLOOKUP(G38,scoring!$U$10:$AA$105,5,FALSE)-72</f>
        <v>4</v>
      </c>
      <c r="I38" s="33" t="s">
        <v>54</v>
      </c>
      <c r="J38" s="33">
        <f>+VLOOKUP(I38,scoring!$U$10:$AA$105,5,FALSE)-72</f>
        <v>0</v>
      </c>
      <c r="K38" s="33" t="s">
        <v>41</v>
      </c>
      <c r="L38" s="33">
        <f>+VLOOKUP(K38,scoring!$U$10:$AA$105,5,FALSE)-72</f>
        <v>8</v>
      </c>
      <c r="M38" s="33" t="s">
        <v>41</v>
      </c>
      <c r="N38" s="33">
        <f>+VLOOKUP(M38,scoring!$U$10:$AA$105,5,FALSE)-72</f>
        <v>8</v>
      </c>
      <c r="O38" s="33" t="s">
        <v>165</v>
      </c>
      <c r="P38" s="33">
        <f>+VLOOKUP(O38,scoring!$U$10:$AA$105,5,FALSE)-72</f>
        <v>8</v>
      </c>
      <c r="Q38" s="33" t="s">
        <v>75</v>
      </c>
      <c r="R38" s="33">
        <f>+VLOOKUP(Q38,scoring!$U$10:$AA$105,5,FALSE)-72</f>
        <v>5</v>
      </c>
      <c r="S38" s="33" t="s">
        <v>21</v>
      </c>
      <c r="T38" s="33">
        <f>+VLOOKUP(S38,scoring!$U$10:$AA$105,5,FALSE)-72</f>
        <v>8</v>
      </c>
      <c r="U38" s="33">
        <f t="shared" si="0"/>
        <v>8</v>
      </c>
    </row>
    <row r="39" spans="1:21" ht="16" x14ac:dyDescent="0.2">
      <c r="A39" s="32">
        <v>9</v>
      </c>
      <c r="B39" s="33" t="s">
        <v>114</v>
      </c>
      <c r="C39" s="33" t="s">
        <v>115</v>
      </c>
      <c r="D39" s="33" t="s">
        <v>116</v>
      </c>
      <c r="E39" s="33" t="s">
        <v>34</v>
      </c>
      <c r="F39" s="33">
        <f>+VLOOKUP(E39,scoring!$U$10:$AA$105,5,FALSE)-72</f>
        <v>0</v>
      </c>
      <c r="G39" s="33" t="s">
        <v>34</v>
      </c>
      <c r="H39" s="33">
        <f>+VLOOKUP(G39,scoring!$U$10:$AA$105,5,FALSE)-72</f>
        <v>0</v>
      </c>
      <c r="I39" s="33" t="s">
        <v>41</v>
      </c>
      <c r="J39" s="33">
        <f>+VLOOKUP(I39,scoring!$U$10:$AA$105,5,FALSE)-72</f>
        <v>8</v>
      </c>
      <c r="K39" s="33" t="s">
        <v>165</v>
      </c>
      <c r="L39" s="33">
        <f>+VLOOKUP(K39,scoring!$U$10:$AA$105,5,FALSE)-72</f>
        <v>8</v>
      </c>
      <c r="M39" s="33" t="s">
        <v>165</v>
      </c>
      <c r="N39" s="33">
        <f>+VLOOKUP(M39,scoring!$U$10:$AA$105,5,FALSE)-72</f>
        <v>8</v>
      </c>
      <c r="O39" s="33" t="s">
        <v>21</v>
      </c>
      <c r="P39" s="33">
        <f>+VLOOKUP(O39,scoring!$U$10:$AA$105,5,FALSE)-72</f>
        <v>8</v>
      </c>
      <c r="Q39" s="33" t="s">
        <v>21</v>
      </c>
      <c r="R39" s="33">
        <f>+VLOOKUP(Q39,scoring!$U$10:$AA$105,5,FALSE)-72</f>
        <v>8</v>
      </c>
      <c r="S39" s="33" t="s">
        <v>26</v>
      </c>
      <c r="T39" s="33">
        <f>+VLOOKUP(S39,scoring!$U$10:$AA$105,5,FALSE)-72</f>
        <v>9</v>
      </c>
      <c r="U39" s="33">
        <f t="shared" si="0"/>
        <v>8</v>
      </c>
    </row>
    <row r="40" spans="1:21" ht="16" x14ac:dyDescent="0.2">
      <c r="A40" s="32">
        <v>14</v>
      </c>
      <c r="B40" s="33" t="s">
        <v>125</v>
      </c>
      <c r="C40" s="33" t="s">
        <v>39</v>
      </c>
      <c r="D40" s="33" t="s">
        <v>40</v>
      </c>
      <c r="E40" s="33" t="s">
        <v>15</v>
      </c>
      <c r="F40" s="33">
        <f>+VLOOKUP(E40,scoring!$U$10:$AA$105,5,FALSE)-72</f>
        <v>-3</v>
      </c>
      <c r="G40" s="33" t="s">
        <v>41</v>
      </c>
      <c r="H40" s="33">
        <f>+VLOOKUP(G40,scoring!$U$10:$AA$105,5,FALSE)-72</f>
        <v>8</v>
      </c>
      <c r="I40" s="33" t="s">
        <v>41</v>
      </c>
      <c r="J40" s="33">
        <f>+VLOOKUP(I40,scoring!$U$10:$AA$105,5,FALSE)-72</f>
        <v>8</v>
      </c>
      <c r="K40" s="33" t="s">
        <v>41</v>
      </c>
      <c r="L40" s="33">
        <f>+VLOOKUP(K40,scoring!$U$10:$AA$105,5,FALSE)-72</f>
        <v>8</v>
      </c>
      <c r="M40" s="33" t="s">
        <v>23</v>
      </c>
      <c r="N40" s="33">
        <f>+VLOOKUP(M40,scoring!$U$10:$AA$105,5,FALSE)-72</f>
        <v>8</v>
      </c>
      <c r="O40" s="33" t="s">
        <v>23</v>
      </c>
      <c r="P40" s="33">
        <f>+VLOOKUP(O40,scoring!$U$10:$AA$105,5,FALSE)-72</f>
        <v>8</v>
      </c>
      <c r="Q40" s="33" t="s">
        <v>23</v>
      </c>
      <c r="R40" s="33">
        <f>+VLOOKUP(Q40,scoring!$U$10:$AA$105,5,FALSE)-72</f>
        <v>8</v>
      </c>
      <c r="S40" s="33" t="s">
        <v>20</v>
      </c>
      <c r="T40" s="33">
        <f>+VLOOKUP(S40,scoring!$U$10:$AA$105,5,FALSE)-72</f>
        <v>8</v>
      </c>
      <c r="U40" s="33">
        <f t="shared" si="0"/>
        <v>13</v>
      </c>
    </row>
    <row r="41" spans="1:21" ht="16" x14ac:dyDescent="0.2">
      <c r="A41" s="32">
        <v>3</v>
      </c>
      <c r="B41" s="33" t="s">
        <v>109</v>
      </c>
      <c r="C41" s="33" t="s">
        <v>107</v>
      </c>
      <c r="D41" s="33" t="s">
        <v>108</v>
      </c>
      <c r="E41" s="33" t="s">
        <v>34</v>
      </c>
      <c r="F41" s="33">
        <f>+VLOOKUP(E41,scoring!$U$10:$AA$105,5,FALSE)-72</f>
        <v>0</v>
      </c>
      <c r="G41" s="33" t="s">
        <v>37</v>
      </c>
      <c r="H41" s="33">
        <f>+VLOOKUP(G41,scoring!$U$10:$AA$105,5,FALSE)-72</f>
        <v>7</v>
      </c>
      <c r="I41" s="33" t="s">
        <v>37</v>
      </c>
      <c r="J41" s="33">
        <f>+VLOOKUP(I41,scoring!$U$10:$AA$105,5,FALSE)-72</f>
        <v>7</v>
      </c>
      <c r="K41" s="33" t="s">
        <v>20</v>
      </c>
      <c r="L41" s="33">
        <f>+VLOOKUP(K41,scoring!$U$10:$AA$105,5,FALSE)-72</f>
        <v>8</v>
      </c>
      <c r="M41" s="33" t="s">
        <v>165</v>
      </c>
      <c r="N41" s="33">
        <f>+VLOOKUP(M41,scoring!$U$10:$AA$105,5,FALSE)-72</f>
        <v>8</v>
      </c>
      <c r="O41" s="33" t="s">
        <v>21</v>
      </c>
      <c r="P41" s="33">
        <f>+VLOOKUP(O41,scoring!$U$10:$AA$105,5,FALSE)-72</f>
        <v>8</v>
      </c>
      <c r="Q41" s="33" t="s">
        <v>64</v>
      </c>
      <c r="R41" s="33">
        <f>+VLOOKUP(Q41,scoring!$U$10:$AA$105,5,FALSE)-72</f>
        <v>8</v>
      </c>
      <c r="S41" s="33" t="s">
        <v>174</v>
      </c>
      <c r="T41" s="33">
        <f>+VLOOKUP(S41,scoring!$U$10:$AA$105,5,FALSE)-72</f>
        <v>8</v>
      </c>
      <c r="U41" s="33">
        <f t="shared" si="0"/>
        <v>14</v>
      </c>
    </row>
    <row r="43" spans="1:21" x14ac:dyDescent="0.2">
      <c r="U43" s="25"/>
    </row>
    <row r="44" spans="1:21" x14ac:dyDescent="0.2">
      <c r="A44" s="26" t="s">
        <v>256</v>
      </c>
    </row>
    <row r="45" spans="1:21" ht="16" x14ac:dyDescent="0.2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/>
      <c r="G45" s="2" t="s">
        <v>5</v>
      </c>
      <c r="H45" s="2"/>
      <c r="I45" s="2" t="s">
        <v>6</v>
      </c>
      <c r="J45" s="2"/>
      <c r="K45" s="2" t="s">
        <v>7</v>
      </c>
      <c r="L45" s="2"/>
      <c r="M45" s="2" t="s">
        <v>8</v>
      </c>
      <c r="N45" s="2"/>
      <c r="O45" s="2" t="s">
        <v>9</v>
      </c>
      <c r="P45" s="2"/>
      <c r="Q45" s="2" t="s">
        <v>10</v>
      </c>
      <c r="R45" s="2"/>
      <c r="S45" s="2" t="s">
        <v>11</v>
      </c>
      <c r="T45" s="2"/>
      <c r="U45" s="2" t="s">
        <v>183</v>
      </c>
    </row>
    <row r="46" spans="1:21" ht="16" x14ac:dyDescent="0.2">
      <c r="A46" s="32">
        <v>8</v>
      </c>
      <c r="B46" s="33" t="s">
        <v>113</v>
      </c>
      <c r="C46" s="33" t="s">
        <v>65</v>
      </c>
      <c r="D46" s="33" t="s">
        <v>66</v>
      </c>
      <c r="E46" s="33" t="s">
        <v>27</v>
      </c>
      <c r="F46" s="33">
        <f>+VLOOKUP(E46,scoring!$U$10:$AA$105,7,FALSE)-72*3</f>
        <v>67</v>
      </c>
      <c r="G46" s="33" t="s">
        <v>27</v>
      </c>
      <c r="H46" s="33">
        <f>+VLOOKUP(G46,scoring!$U$10:$AA$105,7,FALSE)-72*3</f>
        <v>67</v>
      </c>
      <c r="I46" s="33" t="s">
        <v>47</v>
      </c>
      <c r="J46" s="33">
        <f>+VLOOKUP(I46,scoring!$U$10:$AA$105,7,FALSE)-72*3</f>
        <v>65</v>
      </c>
      <c r="K46" s="33" t="s">
        <v>54</v>
      </c>
      <c r="L46" s="33">
        <f>+VLOOKUP(K46,scoring!$U$10:$AA$105,7,FALSE)-72*3</f>
        <v>76</v>
      </c>
      <c r="M46" s="33" t="s">
        <v>38</v>
      </c>
      <c r="N46" s="33">
        <f>+VLOOKUP(M46,scoring!$U$10:$AA$105,7,FALSE)-72*3</f>
        <v>67</v>
      </c>
      <c r="O46" s="33" t="s">
        <v>94</v>
      </c>
      <c r="P46" s="33">
        <f>+VLOOKUP(O46,scoring!$U$10:$AA$105,7,FALSE)-72*3</f>
        <v>98</v>
      </c>
      <c r="Q46" s="33" t="s">
        <v>26</v>
      </c>
      <c r="R46" s="33">
        <f>+VLOOKUP(Q46,scoring!$U$10:$AA$105,7,FALSE)-72*3</f>
        <v>111</v>
      </c>
      <c r="S46" s="33" t="s">
        <v>26</v>
      </c>
      <c r="T46" s="33">
        <f>+VLOOKUP(S46,scoring!$U$10:$AA$105,7,FALSE)-72*3</f>
        <v>111</v>
      </c>
      <c r="U46" s="33">
        <f t="shared" ref="U46:U84" si="1">IFERROR(SMALL(E46:T46,1)+SMALL(E46:T46,2)+SMALL(E46:T46,3),IFERROR(SMALL(E46:T46,1)+SMALL(E46:T46,2),IFERROR(SMALL(E46:T46,1),"-")))</f>
        <v>199</v>
      </c>
    </row>
    <row r="47" spans="1:21" ht="16" x14ac:dyDescent="0.2">
      <c r="A47" s="32">
        <v>38</v>
      </c>
      <c r="B47" s="33" t="s">
        <v>17</v>
      </c>
      <c r="C47" s="33" t="s">
        <v>18</v>
      </c>
      <c r="D47" s="33" t="s">
        <v>19</v>
      </c>
      <c r="E47" s="33" t="s">
        <v>15</v>
      </c>
      <c r="F47" s="33">
        <f>+VLOOKUP(E47,scoring!$U$10:$AA$105,7,FALSE)-72*3</f>
        <v>66</v>
      </c>
      <c r="G47" s="33" t="s">
        <v>15</v>
      </c>
      <c r="H47" s="33">
        <f>+VLOOKUP(G47,scoring!$U$10:$AA$105,7,FALSE)-72*3</f>
        <v>66</v>
      </c>
      <c r="I47" s="33" t="s">
        <v>47</v>
      </c>
      <c r="J47" s="33">
        <f>+VLOOKUP(I47,scoring!$U$10:$AA$105,7,FALSE)-72*3</f>
        <v>65</v>
      </c>
      <c r="K47" s="33" t="s">
        <v>75</v>
      </c>
      <c r="L47" s="33">
        <f>+VLOOKUP(K47,scoring!$U$10:$AA$105,7,FALSE)-72*3</f>
        <v>78</v>
      </c>
      <c r="M47" s="33" t="s">
        <v>28</v>
      </c>
      <c r="N47" s="33">
        <f>+VLOOKUP(M47,scoring!$U$10:$AA$105,7,FALSE)-72*3</f>
        <v>72</v>
      </c>
      <c r="O47" s="33" t="s">
        <v>168</v>
      </c>
      <c r="P47" s="33">
        <f>+VLOOKUP(O47,scoring!$U$10:$AA$105,7,FALSE)-72*3</f>
        <v>98</v>
      </c>
      <c r="Q47" s="33" t="s">
        <v>24</v>
      </c>
      <c r="R47" s="33">
        <f>+VLOOKUP(Q47,scoring!$U$10:$AA$105,7,FALSE)-72*3</f>
        <v>100</v>
      </c>
      <c r="S47" s="33" t="s">
        <v>177</v>
      </c>
      <c r="T47" s="33">
        <f>+VLOOKUP(S47,scoring!$U$10:$AA$105,7,FALSE)-72*3</f>
        <v>99</v>
      </c>
      <c r="U47" s="33">
        <f t="shared" si="1"/>
        <v>197</v>
      </c>
    </row>
    <row r="48" spans="1:21" ht="16" x14ac:dyDescent="0.2">
      <c r="A48" s="32">
        <v>11</v>
      </c>
      <c r="B48" s="33" t="s">
        <v>247</v>
      </c>
      <c r="C48" s="34" t="s">
        <v>121</v>
      </c>
      <c r="D48" s="33" t="s">
        <v>100</v>
      </c>
      <c r="E48" s="33" t="s">
        <v>69</v>
      </c>
      <c r="F48" s="33">
        <f>+VLOOKUP(E48,scoring!$U$10:$AA$105,7,FALSE)-72*3</f>
        <v>69</v>
      </c>
      <c r="G48" s="33" t="s">
        <v>47</v>
      </c>
      <c r="H48" s="33">
        <f>+VLOOKUP(G48,scoring!$U$10:$AA$105,7,FALSE)-72*3</f>
        <v>65</v>
      </c>
      <c r="I48" s="33" t="s">
        <v>20</v>
      </c>
      <c r="J48" s="33">
        <f>+VLOOKUP(I48,scoring!$U$10:$AA$105,7,FALSE)-72*3</f>
        <v>98</v>
      </c>
      <c r="K48" s="33" t="s">
        <v>74</v>
      </c>
      <c r="L48" s="33">
        <f>+VLOOKUP(K48,scoring!$U$10:$AA$105,7,FALSE)-72*3</f>
        <v>69</v>
      </c>
      <c r="M48" s="33" t="s">
        <v>29</v>
      </c>
      <c r="N48" s="33">
        <f>+VLOOKUP(M48,scoring!$U$10:$AA$105,7,FALSE)-72*3</f>
        <v>63</v>
      </c>
      <c r="O48" s="33" t="s">
        <v>51</v>
      </c>
      <c r="P48" s="33">
        <f>+VLOOKUP(O48,scoring!$U$10:$AA$105,7,FALSE)-72*3</f>
        <v>61</v>
      </c>
      <c r="Q48" s="33" t="s">
        <v>172</v>
      </c>
      <c r="R48" s="33">
        <f>+VLOOKUP(Q48,scoring!$U$10:$AA$105,7,FALSE)-72*3</f>
        <v>99</v>
      </c>
      <c r="S48" s="33" t="s">
        <v>173</v>
      </c>
      <c r="T48" s="33">
        <f>+VLOOKUP(S48,scoring!$U$10:$AA$105,7,FALSE)-72*3</f>
        <v>68</v>
      </c>
      <c r="U48" s="33">
        <f t="shared" si="1"/>
        <v>189</v>
      </c>
    </row>
    <row r="49" spans="1:21" ht="16" x14ac:dyDescent="0.2">
      <c r="A49" s="32">
        <v>23</v>
      </c>
      <c r="B49" s="33" t="s">
        <v>139</v>
      </c>
      <c r="C49" s="33" t="s">
        <v>141</v>
      </c>
      <c r="D49" s="33" t="s">
        <v>142</v>
      </c>
      <c r="E49" s="33" t="s">
        <v>15</v>
      </c>
      <c r="F49" s="33">
        <f>+VLOOKUP(E49,scoring!$U$10:$AA$105,7,FALSE)-72*3</f>
        <v>66</v>
      </c>
      <c r="G49" s="33" t="s">
        <v>15</v>
      </c>
      <c r="H49" s="33">
        <f>+VLOOKUP(G49,scoring!$U$10:$AA$105,7,FALSE)-72*3</f>
        <v>66</v>
      </c>
      <c r="I49" s="33" t="s">
        <v>15</v>
      </c>
      <c r="J49" s="33">
        <f>+VLOOKUP(I49,scoring!$U$10:$AA$105,7,FALSE)-72*3</f>
        <v>66</v>
      </c>
      <c r="K49" s="33" t="s">
        <v>23</v>
      </c>
      <c r="L49" s="33">
        <f>+VLOOKUP(K49,scoring!$U$10:$AA$105,7,FALSE)-72*3</f>
        <v>98</v>
      </c>
      <c r="M49" s="33" t="s">
        <v>38</v>
      </c>
      <c r="N49" s="33">
        <f>+VLOOKUP(M49,scoring!$U$10:$AA$105,7,FALSE)-72*3</f>
        <v>67</v>
      </c>
      <c r="O49" s="33" t="s">
        <v>26</v>
      </c>
      <c r="P49" s="33">
        <f>+VLOOKUP(O49,scoring!$U$10:$AA$105,7,FALSE)-72*3</f>
        <v>111</v>
      </c>
      <c r="Q49" s="33" t="s">
        <v>26</v>
      </c>
      <c r="R49" s="33">
        <f>+VLOOKUP(Q49,scoring!$U$10:$AA$105,7,FALSE)-72*3</f>
        <v>111</v>
      </c>
      <c r="S49" s="33" t="s">
        <v>26</v>
      </c>
      <c r="T49" s="33">
        <f>+VLOOKUP(S49,scoring!$U$10:$AA$105,7,FALSE)-72*3</f>
        <v>111</v>
      </c>
      <c r="U49" s="33">
        <f t="shared" si="1"/>
        <v>198</v>
      </c>
    </row>
    <row r="50" spans="1:21" ht="16" x14ac:dyDescent="0.2">
      <c r="A50" s="32">
        <v>29</v>
      </c>
      <c r="B50" s="33" t="s">
        <v>149</v>
      </c>
      <c r="C50" s="33" t="s">
        <v>150</v>
      </c>
      <c r="D50" s="33" t="s">
        <v>151</v>
      </c>
      <c r="E50" s="33" t="s">
        <v>47</v>
      </c>
      <c r="F50" s="33">
        <f>+VLOOKUP(E50,scoring!$U$10:$AA$105,7,FALSE)-72*3</f>
        <v>65</v>
      </c>
      <c r="G50" s="33" t="s">
        <v>47</v>
      </c>
      <c r="H50" s="33">
        <f>+VLOOKUP(G50,scoring!$U$10:$AA$105,7,FALSE)-72*3</f>
        <v>65</v>
      </c>
      <c r="I50" s="33" t="s">
        <v>14</v>
      </c>
      <c r="J50" s="33">
        <f>+VLOOKUP(I50,scoring!$U$10:$AA$105,7,FALSE)-72*3</f>
        <v>72</v>
      </c>
      <c r="K50" s="33" t="s">
        <v>14</v>
      </c>
      <c r="L50" s="33">
        <f>+VLOOKUP(K50,scoring!$U$10:$AA$105,7,FALSE)-72*3</f>
        <v>72</v>
      </c>
      <c r="M50" s="33" t="s">
        <v>165</v>
      </c>
      <c r="N50" s="33">
        <f>+VLOOKUP(M50,scoring!$U$10:$AA$105,7,FALSE)-72*3</f>
        <v>99</v>
      </c>
      <c r="O50" s="33" t="s">
        <v>165</v>
      </c>
      <c r="P50" s="33">
        <f>+VLOOKUP(O50,scoring!$U$10:$AA$105,7,FALSE)-72*3</f>
        <v>99</v>
      </c>
      <c r="Q50" s="33" t="s">
        <v>26</v>
      </c>
      <c r="R50" s="33">
        <f>+VLOOKUP(Q50,scoring!$U$10:$AA$105,7,FALSE)-72*3</f>
        <v>111</v>
      </c>
      <c r="S50" s="33" t="s">
        <v>26</v>
      </c>
      <c r="T50" s="33">
        <f>+VLOOKUP(S50,scoring!$U$10:$AA$105,7,FALSE)-72*3</f>
        <v>111</v>
      </c>
      <c r="U50" s="33">
        <f t="shared" si="1"/>
        <v>202</v>
      </c>
    </row>
    <row r="51" spans="1:21" ht="16" x14ac:dyDescent="0.2">
      <c r="A51" s="32">
        <v>12</v>
      </c>
      <c r="B51" s="33" t="s">
        <v>122</v>
      </c>
      <c r="C51" s="33" t="s">
        <v>123</v>
      </c>
      <c r="D51" s="33" t="s">
        <v>87</v>
      </c>
      <c r="E51" s="33" t="s">
        <v>15</v>
      </c>
      <c r="F51" s="33">
        <f>+VLOOKUP(E51,scoring!$U$10:$AA$105,7,FALSE)-72*3</f>
        <v>66</v>
      </c>
      <c r="G51" s="33" t="s">
        <v>34</v>
      </c>
      <c r="H51" s="33">
        <f>+VLOOKUP(G51,scoring!$U$10:$AA$105,7,FALSE)-72*3</f>
        <v>69</v>
      </c>
      <c r="I51" s="33" t="s">
        <v>32</v>
      </c>
      <c r="J51" s="33">
        <f>+VLOOKUP(I51,scoring!$U$10:$AA$105,7,FALSE)-72*3</f>
        <v>70</v>
      </c>
      <c r="K51" s="33" t="s">
        <v>47</v>
      </c>
      <c r="L51" s="33">
        <f>+VLOOKUP(K51,scoring!$U$10:$AA$105,7,FALSE)-72*3</f>
        <v>65</v>
      </c>
      <c r="M51" s="33" t="s">
        <v>22</v>
      </c>
      <c r="N51" s="33">
        <f>+VLOOKUP(M51,scoring!$U$10:$AA$105,7,FALSE)-72*3</f>
        <v>97</v>
      </c>
      <c r="O51" s="33" t="s">
        <v>76</v>
      </c>
      <c r="P51" s="33">
        <f>+VLOOKUP(O51,scoring!$U$10:$AA$105,7,FALSE)-72*3</f>
        <v>110</v>
      </c>
      <c r="Q51" s="33" t="s">
        <v>26</v>
      </c>
      <c r="R51" s="33">
        <f>+VLOOKUP(Q51,scoring!$U$10:$AA$105,7,FALSE)-72*3</f>
        <v>111</v>
      </c>
      <c r="S51" s="33" t="s">
        <v>26</v>
      </c>
      <c r="T51" s="33">
        <f>+VLOOKUP(S51,scoring!$U$10:$AA$105,7,FALSE)-72*3</f>
        <v>111</v>
      </c>
      <c r="U51" s="33">
        <f t="shared" si="1"/>
        <v>200</v>
      </c>
    </row>
    <row r="52" spans="1:21" ht="16" x14ac:dyDescent="0.2">
      <c r="A52" s="32">
        <v>18</v>
      </c>
      <c r="B52" s="33" t="s">
        <v>131</v>
      </c>
      <c r="C52" s="33" t="s">
        <v>45</v>
      </c>
      <c r="D52" s="33" t="s">
        <v>46</v>
      </c>
      <c r="E52" s="33" t="s">
        <v>34</v>
      </c>
      <c r="F52" s="33">
        <f>+VLOOKUP(E52,scoring!$U$10:$AA$105,7,FALSE)-72*3</f>
        <v>69</v>
      </c>
      <c r="G52" s="33" t="s">
        <v>47</v>
      </c>
      <c r="H52" s="33">
        <f>+VLOOKUP(G52,scoring!$U$10:$AA$105,7,FALSE)-72*3</f>
        <v>65</v>
      </c>
      <c r="I52" s="33" t="s">
        <v>27</v>
      </c>
      <c r="J52" s="33">
        <f>+VLOOKUP(I52,scoring!$U$10:$AA$105,7,FALSE)-72*3</f>
        <v>67</v>
      </c>
      <c r="K52" s="33" t="s">
        <v>54</v>
      </c>
      <c r="L52" s="33">
        <f>+VLOOKUP(K52,scoring!$U$10:$AA$105,7,FALSE)-72*3</f>
        <v>76</v>
      </c>
      <c r="M52" s="33" t="s">
        <v>21</v>
      </c>
      <c r="N52" s="33">
        <f>+VLOOKUP(M52,scoring!$U$10:$AA$105,7,FALSE)-72*3</f>
        <v>101</v>
      </c>
      <c r="O52" s="33" t="s">
        <v>31</v>
      </c>
      <c r="P52" s="33">
        <f>+VLOOKUP(O52,scoring!$U$10:$AA$105,7,FALSE)-72*3</f>
        <v>75</v>
      </c>
      <c r="Q52" s="33" t="s">
        <v>26</v>
      </c>
      <c r="R52" s="33">
        <f>+VLOOKUP(Q52,scoring!$U$10:$AA$105,7,FALSE)-72*3</f>
        <v>111</v>
      </c>
      <c r="S52" s="33" t="s">
        <v>26</v>
      </c>
      <c r="T52" s="33">
        <f>+VLOOKUP(S52,scoring!$U$10:$AA$105,7,FALSE)-72*3</f>
        <v>111</v>
      </c>
      <c r="U52" s="33">
        <f t="shared" si="1"/>
        <v>201</v>
      </c>
    </row>
    <row r="53" spans="1:21" ht="16" x14ac:dyDescent="0.2">
      <c r="A53" s="32">
        <v>15</v>
      </c>
      <c r="B53" s="33" t="s">
        <v>126</v>
      </c>
      <c r="C53" s="33" t="s">
        <v>62</v>
      </c>
      <c r="D53" s="33" t="s">
        <v>63</v>
      </c>
      <c r="E53" s="33" t="s">
        <v>15</v>
      </c>
      <c r="F53" s="33">
        <f>+VLOOKUP(E53,scoring!$U$10:$AA$105,7,FALSE)-72*3</f>
        <v>66</v>
      </c>
      <c r="G53" s="33" t="s">
        <v>15</v>
      </c>
      <c r="H53" s="33">
        <f>+VLOOKUP(G53,scoring!$U$10:$AA$105,7,FALSE)-72*3</f>
        <v>66</v>
      </c>
      <c r="I53" s="33" t="s">
        <v>41</v>
      </c>
      <c r="J53" s="33">
        <f>+VLOOKUP(I53,scoring!$U$10:$AA$105,7,FALSE)-72*3</f>
        <v>96</v>
      </c>
      <c r="K53" s="33" t="s">
        <v>41</v>
      </c>
      <c r="L53" s="33">
        <f>+VLOOKUP(K53,scoring!$U$10:$AA$105,7,FALSE)-72*3</f>
        <v>96</v>
      </c>
      <c r="M53" s="33" t="s">
        <v>32</v>
      </c>
      <c r="N53" s="33">
        <f>+VLOOKUP(M53,scoring!$U$10:$AA$105,7,FALSE)-72*3</f>
        <v>70</v>
      </c>
      <c r="O53" s="33" t="s">
        <v>29</v>
      </c>
      <c r="P53" s="33">
        <f>+VLOOKUP(O53,scoring!$U$10:$AA$105,7,FALSE)-72*3</f>
        <v>63</v>
      </c>
      <c r="Q53" s="33" t="s">
        <v>171</v>
      </c>
      <c r="R53" s="33">
        <f>+VLOOKUP(Q53,scoring!$U$10:$AA$105,7,FALSE)-72*3</f>
        <v>101</v>
      </c>
      <c r="S53" s="33" t="s">
        <v>171</v>
      </c>
      <c r="T53" s="33">
        <f>+VLOOKUP(S53,scoring!$U$10:$AA$105,7,FALSE)-72*3</f>
        <v>101</v>
      </c>
      <c r="U53" s="33">
        <f t="shared" si="1"/>
        <v>195</v>
      </c>
    </row>
    <row r="54" spans="1:21" ht="16" x14ac:dyDescent="0.2">
      <c r="A54" s="32">
        <v>22</v>
      </c>
      <c r="B54" s="33" t="s">
        <v>138</v>
      </c>
      <c r="C54" s="33" t="s">
        <v>98</v>
      </c>
      <c r="D54" s="33" t="s">
        <v>99</v>
      </c>
      <c r="E54" s="33" t="s">
        <v>34</v>
      </c>
      <c r="F54" s="33">
        <f>+VLOOKUP(E54,scoring!$U$10:$AA$105,7,FALSE)-72*3</f>
        <v>69</v>
      </c>
      <c r="G54" s="33" t="s">
        <v>37</v>
      </c>
      <c r="H54" s="33">
        <f>+VLOOKUP(G54,scoring!$U$10:$AA$105,7,FALSE)-72*3</f>
        <v>70</v>
      </c>
      <c r="I54" s="33" t="s">
        <v>54</v>
      </c>
      <c r="J54" s="33">
        <f>+VLOOKUP(I54,scoring!$U$10:$AA$105,7,FALSE)-72*3</f>
        <v>76</v>
      </c>
      <c r="K54" s="33" t="s">
        <v>44</v>
      </c>
      <c r="L54" s="33">
        <f>+VLOOKUP(K54,scoring!$U$10:$AA$105,7,FALSE)-72*3</f>
        <v>74</v>
      </c>
      <c r="M54" s="33" t="s">
        <v>75</v>
      </c>
      <c r="N54" s="33">
        <f>+VLOOKUP(M54,scoring!$U$10:$AA$105,7,FALSE)-72*3</f>
        <v>78</v>
      </c>
      <c r="O54" s="33" t="s">
        <v>38</v>
      </c>
      <c r="P54" s="33">
        <f>+VLOOKUP(O54,scoring!$U$10:$AA$105,7,FALSE)-72*3</f>
        <v>67</v>
      </c>
      <c r="Q54" s="33" t="s">
        <v>22</v>
      </c>
      <c r="R54" s="33">
        <f>+VLOOKUP(Q54,scoring!$U$10:$AA$105,7,FALSE)-72*3</f>
        <v>97</v>
      </c>
      <c r="S54" s="33" t="s">
        <v>50</v>
      </c>
      <c r="T54" s="33">
        <f>+VLOOKUP(S54,scoring!$U$10:$AA$105,7,FALSE)-72*3</f>
        <v>67</v>
      </c>
      <c r="U54" s="33">
        <f t="shared" si="1"/>
        <v>203</v>
      </c>
    </row>
    <row r="55" spans="1:21" ht="16" x14ac:dyDescent="0.2">
      <c r="A55" s="32">
        <v>33</v>
      </c>
      <c r="B55" s="33" t="s">
        <v>159</v>
      </c>
      <c r="C55" s="33" t="s">
        <v>154</v>
      </c>
      <c r="D55" s="33" t="s">
        <v>155</v>
      </c>
      <c r="E55" s="33" t="s">
        <v>15</v>
      </c>
      <c r="F55" s="33">
        <f>+VLOOKUP(E55,scoring!$U$10:$AA$105,7,FALSE)-72*3</f>
        <v>66</v>
      </c>
      <c r="G55" s="33" t="s">
        <v>15</v>
      </c>
      <c r="H55" s="33">
        <f>+VLOOKUP(G55,scoring!$U$10:$AA$105,7,FALSE)-72*3</f>
        <v>66</v>
      </c>
      <c r="I55" s="33" t="s">
        <v>51</v>
      </c>
      <c r="J55" s="33">
        <f>+VLOOKUP(I55,scoring!$U$10:$AA$105,7,FALSE)-72*3</f>
        <v>61</v>
      </c>
      <c r="K55" s="33" t="s">
        <v>29</v>
      </c>
      <c r="L55" s="33">
        <f>+VLOOKUP(K55,scoring!$U$10:$AA$105,7,FALSE)-72*3</f>
        <v>63</v>
      </c>
      <c r="M55" s="33" t="s">
        <v>33</v>
      </c>
      <c r="N55" s="33">
        <f>+VLOOKUP(M55,scoring!$U$10:$AA$105,7,FALSE)-72*3</f>
        <v>74</v>
      </c>
      <c r="O55" s="33" t="s">
        <v>167</v>
      </c>
      <c r="P55" s="33">
        <f>+VLOOKUP(O55,scoring!$U$10:$AA$105,7,FALSE)-72*3</f>
        <v>79</v>
      </c>
      <c r="Q55" s="33" t="s">
        <v>88</v>
      </c>
      <c r="R55" s="33">
        <f>+VLOOKUP(Q55,scoring!$U$10:$AA$105,7,FALSE)-72*3</f>
        <v>69</v>
      </c>
      <c r="S55" s="33" t="s">
        <v>22</v>
      </c>
      <c r="T55" s="33">
        <f>+VLOOKUP(S55,scoring!$U$10:$AA$105,7,FALSE)-72*3</f>
        <v>97</v>
      </c>
      <c r="U55" s="33">
        <f t="shared" si="1"/>
        <v>190</v>
      </c>
    </row>
    <row r="56" spans="1:21" ht="16" x14ac:dyDescent="0.2">
      <c r="A56" s="32">
        <v>36</v>
      </c>
      <c r="B56" s="33" t="s">
        <v>101</v>
      </c>
      <c r="C56" s="33" t="s">
        <v>102</v>
      </c>
      <c r="D56" s="33" t="s">
        <v>103</v>
      </c>
      <c r="E56" s="33" t="s">
        <v>43</v>
      </c>
      <c r="F56" s="33">
        <f>+VLOOKUP(E56,scoring!$U$10:$AA$105,7,FALSE)-72*3</f>
        <v>61</v>
      </c>
      <c r="G56" s="33" t="s">
        <v>15</v>
      </c>
      <c r="H56" s="33">
        <f>+VLOOKUP(G56,scoring!$U$10:$AA$105,7,FALSE)-72*3</f>
        <v>66</v>
      </c>
      <c r="I56" s="33" t="s">
        <v>166</v>
      </c>
      <c r="J56" s="33">
        <f>+VLOOKUP(I56,scoring!$U$10:$AA$105,7,FALSE)-72*3</f>
        <v>70</v>
      </c>
      <c r="K56" s="33" t="s">
        <v>170</v>
      </c>
      <c r="L56" s="33">
        <f>+VLOOKUP(K56,scoring!$U$10:$AA$105,7,FALSE)-72*3</f>
        <v>73</v>
      </c>
      <c r="M56" s="33" t="s">
        <v>26</v>
      </c>
      <c r="N56" s="33">
        <f>+VLOOKUP(M56,scoring!$U$10:$AA$105,7,FALSE)-72*3</f>
        <v>111</v>
      </c>
      <c r="O56" s="33" t="s">
        <v>26</v>
      </c>
      <c r="P56" s="33">
        <f>+VLOOKUP(O56,scoring!$U$10:$AA$105,7,FALSE)-72*3</f>
        <v>111</v>
      </c>
      <c r="Q56" s="33" t="s">
        <v>26</v>
      </c>
      <c r="R56" s="33">
        <f>+VLOOKUP(Q56,scoring!$U$10:$AA$105,7,FALSE)-72*3</f>
        <v>111</v>
      </c>
      <c r="S56" s="33" t="s">
        <v>26</v>
      </c>
      <c r="T56" s="33">
        <f>+VLOOKUP(S56,scoring!$U$10:$AA$105,7,FALSE)-72*3</f>
        <v>111</v>
      </c>
      <c r="U56" s="33">
        <f t="shared" si="1"/>
        <v>197</v>
      </c>
    </row>
    <row r="57" spans="1:21" ht="16" x14ac:dyDescent="0.2">
      <c r="A57" s="32">
        <v>39</v>
      </c>
      <c r="B57" s="33" t="s">
        <v>161</v>
      </c>
      <c r="C57" s="33" t="s">
        <v>70</v>
      </c>
      <c r="D57" s="33" t="s">
        <v>71</v>
      </c>
      <c r="E57" s="33" t="s">
        <v>34</v>
      </c>
      <c r="F57" s="33">
        <f>+VLOOKUP(E57,scoring!$U$10:$AA$105,7,FALSE)-72*3</f>
        <v>69</v>
      </c>
      <c r="G57" s="33" t="s">
        <v>27</v>
      </c>
      <c r="H57" s="33">
        <f>+VLOOKUP(G57,scoring!$U$10:$AA$105,7,FALSE)-72*3</f>
        <v>67</v>
      </c>
      <c r="I57" s="33" t="s">
        <v>176</v>
      </c>
      <c r="J57" s="33">
        <f>+VLOOKUP(I57,scoring!$U$10:$AA$105,7,FALSE)-72*3</f>
        <v>69</v>
      </c>
      <c r="K57" s="33" t="s">
        <v>164</v>
      </c>
      <c r="L57" s="33">
        <f>+VLOOKUP(K57,scoring!$U$10:$AA$105,7,FALSE)-72*3</f>
        <v>69</v>
      </c>
      <c r="M57" s="33" t="s">
        <v>75</v>
      </c>
      <c r="N57" s="33">
        <f>+VLOOKUP(M57,scoring!$U$10:$AA$105,7,FALSE)-72*3</f>
        <v>78</v>
      </c>
      <c r="O57" s="33" t="s">
        <v>54</v>
      </c>
      <c r="P57" s="33">
        <f>+VLOOKUP(O57,scoring!$U$10:$AA$105,7,FALSE)-72*3</f>
        <v>76</v>
      </c>
      <c r="Q57" s="33" t="s">
        <v>55</v>
      </c>
      <c r="R57" s="33">
        <f>+VLOOKUP(Q57,scoring!$U$10:$AA$105,7,FALSE)-72*3</f>
        <v>74</v>
      </c>
      <c r="S57" s="33" t="s">
        <v>38</v>
      </c>
      <c r="T57" s="33">
        <f>+VLOOKUP(S57,scoring!$U$10:$AA$105,7,FALSE)-72*3</f>
        <v>67</v>
      </c>
      <c r="U57" s="33">
        <f t="shared" si="1"/>
        <v>203</v>
      </c>
    </row>
    <row r="58" spans="1:21" ht="16" x14ac:dyDescent="0.2">
      <c r="A58" s="32">
        <v>21</v>
      </c>
      <c r="B58" s="33" t="s">
        <v>137</v>
      </c>
      <c r="C58" s="33" t="s">
        <v>35</v>
      </c>
      <c r="D58" s="33" t="s">
        <v>36</v>
      </c>
      <c r="E58" s="33" t="s">
        <v>15</v>
      </c>
      <c r="F58" s="33">
        <f>+VLOOKUP(E58,scoring!$U$10:$AA$105,7,FALSE)-72*3</f>
        <v>66</v>
      </c>
      <c r="G58" s="33" t="s">
        <v>34</v>
      </c>
      <c r="H58" s="33">
        <f>+VLOOKUP(G58,scoring!$U$10:$AA$105,7,FALSE)-72*3</f>
        <v>69</v>
      </c>
      <c r="I58" s="33" t="s">
        <v>54</v>
      </c>
      <c r="J58" s="33">
        <f>+VLOOKUP(I58,scoring!$U$10:$AA$105,7,FALSE)-72*3</f>
        <v>76</v>
      </c>
      <c r="K58" s="33" t="s">
        <v>75</v>
      </c>
      <c r="L58" s="33">
        <f>+VLOOKUP(K58,scoring!$U$10:$AA$105,7,FALSE)-72*3</f>
        <v>78</v>
      </c>
      <c r="M58" s="33" t="s">
        <v>23</v>
      </c>
      <c r="N58" s="33">
        <f>+VLOOKUP(M58,scoring!$U$10:$AA$105,7,FALSE)-72*3</f>
        <v>98</v>
      </c>
      <c r="O58" s="33" t="s">
        <v>51</v>
      </c>
      <c r="P58" s="33">
        <f>+VLOOKUP(O58,scoring!$U$10:$AA$105,7,FALSE)-72*3</f>
        <v>61</v>
      </c>
      <c r="Q58" s="33" t="s">
        <v>64</v>
      </c>
      <c r="R58" s="33">
        <f>+VLOOKUP(Q58,scoring!$U$10:$AA$105,7,FALSE)-72*3</f>
        <v>98</v>
      </c>
      <c r="S58" s="33" t="s">
        <v>64</v>
      </c>
      <c r="T58" s="33">
        <f>+VLOOKUP(S58,scoring!$U$10:$AA$105,7,FALSE)-72*3</f>
        <v>98</v>
      </c>
      <c r="U58" s="33">
        <f t="shared" si="1"/>
        <v>196</v>
      </c>
    </row>
    <row r="59" spans="1:21" ht="16" x14ac:dyDescent="0.2">
      <c r="A59" s="32">
        <v>28</v>
      </c>
      <c r="B59" s="33" t="s">
        <v>148</v>
      </c>
      <c r="C59" s="33" t="s">
        <v>82</v>
      </c>
      <c r="D59" s="33" t="s">
        <v>83</v>
      </c>
      <c r="E59" s="33" t="s">
        <v>34</v>
      </c>
      <c r="F59" s="33">
        <f>+VLOOKUP(E59,scoring!$U$10:$AA$105,7,FALSE)-72*3</f>
        <v>69</v>
      </c>
      <c r="G59" s="33" t="s">
        <v>34</v>
      </c>
      <c r="H59" s="33">
        <f>+VLOOKUP(G59,scoring!$U$10:$AA$105,7,FALSE)-72*3</f>
        <v>69</v>
      </c>
      <c r="I59" s="33" t="s">
        <v>47</v>
      </c>
      <c r="J59" s="33">
        <f>+VLOOKUP(I59,scoring!$U$10:$AA$105,7,FALSE)-72*3</f>
        <v>65</v>
      </c>
      <c r="K59" s="33" t="s">
        <v>44</v>
      </c>
      <c r="L59" s="33">
        <f>+VLOOKUP(K59,scoring!$U$10:$AA$105,7,FALSE)-72*3</f>
        <v>74</v>
      </c>
      <c r="M59" s="33" t="s">
        <v>94</v>
      </c>
      <c r="N59" s="33">
        <f>+VLOOKUP(M59,scoring!$U$10:$AA$105,7,FALSE)-72*3</f>
        <v>98</v>
      </c>
      <c r="O59" s="33" t="s">
        <v>178</v>
      </c>
      <c r="P59" s="33">
        <f>+VLOOKUP(O59,scoring!$U$10:$AA$105,7,FALSE)-72*3</f>
        <v>103</v>
      </c>
      <c r="Q59" s="33" t="s">
        <v>26</v>
      </c>
      <c r="R59" s="33">
        <f>+VLOOKUP(Q59,scoring!$U$10:$AA$105,7,FALSE)-72*3</f>
        <v>111</v>
      </c>
      <c r="S59" s="33" t="s">
        <v>26</v>
      </c>
      <c r="T59" s="33">
        <f>+VLOOKUP(S59,scoring!$U$10:$AA$105,7,FALSE)-72*3</f>
        <v>111</v>
      </c>
      <c r="U59" s="33">
        <f t="shared" si="1"/>
        <v>203</v>
      </c>
    </row>
    <row r="60" spans="1:21" ht="16" x14ac:dyDescent="0.2">
      <c r="A60" s="32">
        <v>37</v>
      </c>
      <c r="B60" s="33" t="s">
        <v>160</v>
      </c>
      <c r="C60" s="33" t="s">
        <v>157</v>
      </c>
      <c r="D60" s="33" t="s">
        <v>158</v>
      </c>
      <c r="E60" s="33" t="s">
        <v>43</v>
      </c>
      <c r="F60" s="33">
        <f>+VLOOKUP(E60,scoring!$U$10:$AA$105,7,FALSE)-72*3</f>
        <v>61</v>
      </c>
      <c r="G60" s="33" t="s">
        <v>58</v>
      </c>
      <c r="H60" s="33">
        <f>+VLOOKUP(G60,scoring!$U$10:$AA$105,7,FALSE)-72*3</f>
        <v>70</v>
      </c>
      <c r="I60" s="33" t="s">
        <v>54</v>
      </c>
      <c r="J60" s="33">
        <f>+VLOOKUP(I60,scoring!$U$10:$AA$105,7,FALSE)-72*3</f>
        <v>76</v>
      </c>
      <c r="K60" s="33" t="s">
        <v>22</v>
      </c>
      <c r="L60" s="33">
        <f>+VLOOKUP(K60,scoring!$U$10:$AA$105,7,FALSE)-72*3</f>
        <v>97</v>
      </c>
      <c r="M60" s="33" t="s">
        <v>168</v>
      </c>
      <c r="N60" s="33">
        <f>+VLOOKUP(M60,scoring!$U$10:$AA$105,7,FALSE)-72*3</f>
        <v>98</v>
      </c>
      <c r="O60" s="33" t="s">
        <v>26</v>
      </c>
      <c r="P60" s="33">
        <f>+VLOOKUP(O60,scoring!$U$10:$AA$105,7,FALSE)-72*3</f>
        <v>111</v>
      </c>
      <c r="Q60" s="33" t="s">
        <v>26</v>
      </c>
      <c r="R60" s="33">
        <f>+VLOOKUP(Q60,scoring!$U$10:$AA$105,7,FALSE)-72*3</f>
        <v>111</v>
      </c>
      <c r="S60" s="33" t="s">
        <v>26</v>
      </c>
      <c r="T60" s="33">
        <f>+VLOOKUP(S60,scoring!$U$10:$AA$105,7,FALSE)-72*3</f>
        <v>111</v>
      </c>
      <c r="U60" s="33">
        <f t="shared" si="1"/>
        <v>207</v>
      </c>
    </row>
    <row r="61" spans="1:21" ht="16" x14ac:dyDescent="0.2">
      <c r="A61" s="32">
        <v>30</v>
      </c>
      <c r="B61" s="33" t="s">
        <v>152</v>
      </c>
      <c r="C61" s="33" t="s">
        <v>52</v>
      </c>
      <c r="D61" s="33" t="s">
        <v>53</v>
      </c>
      <c r="E61" s="33" t="s">
        <v>16</v>
      </c>
      <c r="F61" s="33">
        <f>+VLOOKUP(E61,scoring!$U$10:$AA$105,7,FALSE)-72*3</f>
        <v>96</v>
      </c>
      <c r="G61" s="33" t="s">
        <v>180</v>
      </c>
      <c r="H61" s="33">
        <f>+VLOOKUP(G61,scoring!$U$10:$AA$105,7,FALSE)-72*3</f>
        <v>67</v>
      </c>
      <c r="I61" s="33" t="s">
        <v>54</v>
      </c>
      <c r="J61" s="33">
        <f>+VLOOKUP(I61,scoring!$U$10:$AA$105,7,FALSE)-72*3</f>
        <v>76</v>
      </c>
      <c r="K61" s="33" t="s">
        <v>32</v>
      </c>
      <c r="L61" s="33">
        <f>+VLOOKUP(K61,scoring!$U$10:$AA$105,7,FALSE)-72*3</f>
        <v>70</v>
      </c>
      <c r="M61" s="33" t="s">
        <v>32</v>
      </c>
      <c r="N61" s="33">
        <f>+VLOOKUP(M61,scoring!$U$10:$AA$105,7,FALSE)-72*3</f>
        <v>70</v>
      </c>
      <c r="O61" s="33" t="s">
        <v>94</v>
      </c>
      <c r="P61" s="33">
        <f>+VLOOKUP(O61,scoring!$U$10:$AA$105,7,FALSE)-72*3</f>
        <v>98</v>
      </c>
      <c r="Q61" s="33" t="s">
        <v>15</v>
      </c>
      <c r="R61" s="33">
        <f>+VLOOKUP(Q61,scoring!$U$10:$AA$105,7,FALSE)-72*3</f>
        <v>66</v>
      </c>
      <c r="S61" s="33" t="s">
        <v>33</v>
      </c>
      <c r="T61" s="33">
        <f>+VLOOKUP(S61,scoring!$U$10:$AA$105,7,FALSE)-72*3</f>
        <v>74</v>
      </c>
      <c r="U61" s="33">
        <f t="shared" si="1"/>
        <v>203</v>
      </c>
    </row>
    <row r="62" spans="1:21" ht="16" x14ac:dyDescent="0.2">
      <c r="A62" s="32">
        <v>10</v>
      </c>
      <c r="B62" s="33" t="s">
        <v>119</v>
      </c>
      <c r="C62" s="33" t="s">
        <v>117</v>
      </c>
      <c r="D62" s="33" t="s">
        <v>118</v>
      </c>
      <c r="E62" s="33" t="s">
        <v>43</v>
      </c>
      <c r="F62" s="33">
        <f>+VLOOKUP(E62,scoring!$U$10:$AA$105,7,FALSE)-72*3</f>
        <v>61</v>
      </c>
      <c r="G62" s="33" t="s">
        <v>58</v>
      </c>
      <c r="H62" s="33">
        <f>+VLOOKUP(G62,scoring!$U$10:$AA$105,7,FALSE)-72*3</f>
        <v>70</v>
      </c>
      <c r="I62" s="33" t="s">
        <v>32</v>
      </c>
      <c r="J62" s="33">
        <f>+VLOOKUP(I62,scoring!$U$10:$AA$105,7,FALSE)-72*3</f>
        <v>70</v>
      </c>
      <c r="K62" s="33" t="s">
        <v>75</v>
      </c>
      <c r="L62" s="33">
        <f>+VLOOKUP(K62,scoring!$U$10:$AA$105,7,FALSE)-72*3</f>
        <v>78</v>
      </c>
      <c r="M62" s="33" t="s">
        <v>178</v>
      </c>
      <c r="N62" s="33">
        <f>+VLOOKUP(M62,scoring!$U$10:$AA$105,7,FALSE)-72*3</f>
        <v>103</v>
      </c>
      <c r="O62" s="33" t="s">
        <v>26</v>
      </c>
      <c r="P62" s="33">
        <f>+VLOOKUP(O62,scoring!$U$10:$AA$105,7,FALSE)-72*3</f>
        <v>111</v>
      </c>
      <c r="Q62" s="33" t="s">
        <v>26</v>
      </c>
      <c r="R62" s="33">
        <f>+VLOOKUP(Q62,scoring!$U$10:$AA$105,7,FALSE)-72*3</f>
        <v>111</v>
      </c>
      <c r="S62" s="33" t="s">
        <v>26</v>
      </c>
      <c r="T62" s="33">
        <f>+VLOOKUP(S62,scoring!$U$10:$AA$105,7,FALSE)-72*3</f>
        <v>111</v>
      </c>
      <c r="U62" s="33">
        <f t="shared" si="1"/>
        <v>201</v>
      </c>
    </row>
    <row r="63" spans="1:21" ht="16" x14ac:dyDescent="0.2">
      <c r="A63" s="32">
        <v>17</v>
      </c>
      <c r="B63" s="33" t="s">
        <v>128</v>
      </c>
      <c r="C63" s="33" t="s">
        <v>129</v>
      </c>
      <c r="D63" s="33" t="s">
        <v>130</v>
      </c>
      <c r="E63" s="33" t="s">
        <v>15</v>
      </c>
      <c r="F63" s="33">
        <f>+VLOOKUP(E63,scoring!$U$10:$AA$105,7,FALSE)-72*3</f>
        <v>66</v>
      </c>
      <c r="G63" s="33" t="s">
        <v>54</v>
      </c>
      <c r="H63" s="33">
        <f>+VLOOKUP(G63,scoring!$U$10:$AA$105,7,FALSE)-72*3</f>
        <v>76</v>
      </c>
      <c r="I63" s="33" t="s">
        <v>26</v>
      </c>
      <c r="J63" s="33">
        <f>+VLOOKUP(I63,scoring!$U$10:$AA$105,7,FALSE)-72*3</f>
        <v>111</v>
      </c>
      <c r="K63" s="33" t="s">
        <v>41</v>
      </c>
      <c r="L63" s="33">
        <f>+VLOOKUP(K63,scoring!$U$10:$AA$105,7,FALSE)-72*3</f>
        <v>96</v>
      </c>
      <c r="M63" s="33" t="s">
        <v>34</v>
      </c>
      <c r="N63" s="33">
        <f>+VLOOKUP(M63,scoring!$U$10:$AA$105,7,FALSE)-72*3</f>
        <v>69</v>
      </c>
      <c r="O63" s="33" t="s">
        <v>37</v>
      </c>
      <c r="P63" s="33">
        <f>+VLOOKUP(O63,scoring!$U$10:$AA$105,7,FALSE)-72*3</f>
        <v>70</v>
      </c>
      <c r="Q63" s="33" t="s">
        <v>167</v>
      </c>
      <c r="R63" s="33">
        <f>+VLOOKUP(Q63,scoring!$U$10:$AA$105,7,FALSE)-72*3</f>
        <v>79</v>
      </c>
      <c r="S63" s="33" t="s">
        <v>26</v>
      </c>
      <c r="T63" s="33">
        <f>+VLOOKUP(S63,scoring!$U$10:$AA$105,7,FALSE)-72*3</f>
        <v>111</v>
      </c>
      <c r="U63" s="33">
        <f t="shared" si="1"/>
        <v>205</v>
      </c>
    </row>
    <row r="64" spans="1:21" ht="16" x14ac:dyDescent="0.2">
      <c r="A64" s="32">
        <v>27</v>
      </c>
      <c r="B64" s="33" t="s">
        <v>147</v>
      </c>
      <c r="C64" s="33" t="s">
        <v>86</v>
      </c>
      <c r="D64" s="33" t="s">
        <v>57</v>
      </c>
      <c r="E64" s="33" t="s">
        <v>55</v>
      </c>
      <c r="F64" s="33">
        <f>+VLOOKUP(E64,scoring!$U$10:$AA$105,7,FALSE)-72*3</f>
        <v>74</v>
      </c>
      <c r="G64" s="33" t="s">
        <v>55</v>
      </c>
      <c r="H64" s="33">
        <f>+VLOOKUP(G64,scoring!$U$10:$AA$105,7,FALSE)-72*3</f>
        <v>74</v>
      </c>
      <c r="I64" s="33" t="s">
        <v>54</v>
      </c>
      <c r="J64" s="33">
        <f>+VLOOKUP(I64,scoring!$U$10:$AA$105,7,FALSE)-72*3</f>
        <v>76</v>
      </c>
      <c r="K64" s="33" t="s">
        <v>43</v>
      </c>
      <c r="L64" s="33">
        <f>+VLOOKUP(K64,scoring!$U$10:$AA$105,7,FALSE)-72*3</f>
        <v>61</v>
      </c>
      <c r="M64" s="33" t="s">
        <v>75</v>
      </c>
      <c r="N64" s="33">
        <f>+VLOOKUP(M64,scoring!$U$10:$AA$105,7,FALSE)-72*3</f>
        <v>78</v>
      </c>
      <c r="O64" s="33" t="s">
        <v>55</v>
      </c>
      <c r="P64" s="33">
        <f>+VLOOKUP(O64,scoring!$U$10:$AA$105,7,FALSE)-72*3</f>
        <v>74</v>
      </c>
      <c r="Q64" s="33" t="s">
        <v>26</v>
      </c>
      <c r="R64" s="33">
        <f>+VLOOKUP(Q64,scoring!$U$10:$AA$105,7,FALSE)-72*3</f>
        <v>111</v>
      </c>
      <c r="S64" s="33" t="s">
        <v>26</v>
      </c>
      <c r="T64" s="33">
        <f>+VLOOKUP(S64,scoring!$U$10:$AA$105,7,FALSE)-72*3</f>
        <v>111</v>
      </c>
      <c r="U64" s="33">
        <f t="shared" si="1"/>
        <v>209</v>
      </c>
    </row>
    <row r="65" spans="1:21" ht="16" x14ac:dyDescent="0.2">
      <c r="A65" s="32">
        <v>6</v>
      </c>
      <c r="B65" s="33" t="s">
        <v>111</v>
      </c>
      <c r="C65" s="33" t="s">
        <v>84</v>
      </c>
      <c r="D65" s="33" t="s">
        <v>85</v>
      </c>
      <c r="E65" s="33" t="s">
        <v>32</v>
      </c>
      <c r="F65" s="33">
        <f>+VLOOKUP(E65,scoring!$U$10:$AA$105,7,FALSE)-72*3</f>
        <v>70</v>
      </c>
      <c r="G65" s="33" t="s">
        <v>32</v>
      </c>
      <c r="H65" s="33">
        <f>+VLOOKUP(G65,scoring!$U$10:$AA$105,7,FALSE)-72*3</f>
        <v>70</v>
      </c>
      <c r="I65" s="33" t="s">
        <v>74</v>
      </c>
      <c r="J65" s="33">
        <f>+VLOOKUP(I65,scoring!$U$10:$AA$105,7,FALSE)-72*3</f>
        <v>69</v>
      </c>
      <c r="K65" s="33" t="s">
        <v>74</v>
      </c>
      <c r="L65" s="33">
        <f>+VLOOKUP(K65,scoring!$U$10:$AA$105,7,FALSE)-72*3</f>
        <v>69</v>
      </c>
      <c r="M65" s="33" t="s">
        <v>37</v>
      </c>
      <c r="N65" s="33">
        <f>+VLOOKUP(M65,scoring!$U$10:$AA$105,7,FALSE)-72*3</f>
        <v>70</v>
      </c>
      <c r="O65" s="33" t="s">
        <v>37</v>
      </c>
      <c r="P65" s="33">
        <f>+VLOOKUP(O65,scoring!$U$10:$AA$105,7,FALSE)-72*3</f>
        <v>70</v>
      </c>
      <c r="Q65" s="33" t="s">
        <v>50</v>
      </c>
      <c r="R65" s="33">
        <f>+VLOOKUP(Q65,scoring!$U$10:$AA$105,7,FALSE)-72*3</f>
        <v>67</v>
      </c>
      <c r="S65" s="33" t="s">
        <v>50</v>
      </c>
      <c r="T65" s="33">
        <f>+VLOOKUP(S65,scoring!$U$10:$AA$105,7,FALSE)-72*3</f>
        <v>67</v>
      </c>
      <c r="U65" s="33">
        <f t="shared" si="1"/>
        <v>203</v>
      </c>
    </row>
    <row r="66" spans="1:21" ht="16" x14ac:dyDescent="0.2">
      <c r="A66" s="32">
        <v>19</v>
      </c>
      <c r="B66" s="33" t="s">
        <v>133</v>
      </c>
      <c r="C66" s="33" t="s">
        <v>134</v>
      </c>
      <c r="D66" s="33" t="s">
        <v>135</v>
      </c>
      <c r="E66" s="33" t="s">
        <v>43</v>
      </c>
      <c r="F66" s="33">
        <f>+VLOOKUP(E66,scoring!$U$10:$AA$105,7,FALSE)-72*3</f>
        <v>61</v>
      </c>
      <c r="G66" s="33" t="s">
        <v>75</v>
      </c>
      <c r="H66" s="33">
        <f>+VLOOKUP(G66,scoring!$U$10:$AA$105,7,FALSE)-72*3</f>
        <v>78</v>
      </c>
      <c r="I66" s="33" t="s">
        <v>75</v>
      </c>
      <c r="J66" s="33">
        <f>+VLOOKUP(I66,scoring!$U$10:$AA$105,7,FALSE)-72*3</f>
        <v>78</v>
      </c>
      <c r="K66" s="33" t="s">
        <v>42</v>
      </c>
      <c r="L66" s="33">
        <f>+VLOOKUP(K66,scoring!$U$10:$AA$105,7,FALSE)-72*3</f>
        <v>76</v>
      </c>
      <c r="M66" s="33" t="s">
        <v>42</v>
      </c>
      <c r="N66" s="33">
        <f>+VLOOKUP(M66,scoring!$U$10:$AA$105,7,FALSE)-72*3</f>
        <v>76</v>
      </c>
      <c r="O66" s="33" t="s">
        <v>51</v>
      </c>
      <c r="P66" s="33">
        <f>+VLOOKUP(O66,scoring!$U$10:$AA$105,7,FALSE)-72*3</f>
        <v>61</v>
      </c>
      <c r="Q66" s="33" t="s">
        <v>26</v>
      </c>
      <c r="R66" s="33">
        <f>+VLOOKUP(Q66,scoring!$U$10:$AA$105,7,FALSE)-72*3</f>
        <v>111</v>
      </c>
      <c r="S66" s="33" t="s">
        <v>26</v>
      </c>
      <c r="T66" s="33">
        <f>+VLOOKUP(S66,scoring!$U$10:$AA$105,7,FALSE)-72*3</f>
        <v>111</v>
      </c>
      <c r="U66" s="33">
        <f t="shared" si="1"/>
        <v>198</v>
      </c>
    </row>
    <row r="67" spans="1:21" ht="16" x14ac:dyDescent="0.2">
      <c r="A67" s="32">
        <v>7</v>
      </c>
      <c r="B67" s="33" t="s">
        <v>112</v>
      </c>
      <c r="C67" s="33" t="s">
        <v>56</v>
      </c>
      <c r="D67" s="33" t="s">
        <v>57</v>
      </c>
      <c r="E67" s="33" t="s">
        <v>34</v>
      </c>
      <c r="F67" s="33">
        <f>+VLOOKUP(E67,scoring!$U$10:$AA$105,7,FALSE)-72*3</f>
        <v>69</v>
      </c>
      <c r="G67" s="33" t="s">
        <v>34</v>
      </c>
      <c r="H67" s="33">
        <f>+VLOOKUP(G67,scoring!$U$10:$AA$105,7,FALSE)-72*3</f>
        <v>69</v>
      </c>
      <c r="I67" s="33" t="s">
        <v>34</v>
      </c>
      <c r="J67" s="33">
        <f>+VLOOKUP(I67,scoring!$U$10:$AA$105,7,FALSE)-72*3</f>
        <v>69</v>
      </c>
      <c r="K67" s="33" t="s">
        <v>29</v>
      </c>
      <c r="L67" s="33">
        <f>+VLOOKUP(K67,scoring!$U$10:$AA$105,7,FALSE)-72*3</f>
        <v>63</v>
      </c>
      <c r="M67" s="33" t="s">
        <v>170</v>
      </c>
      <c r="N67" s="33">
        <f>+VLOOKUP(M67,scoring!$U$10:$AA$105,7,FALSE)-72*3</f>
        <v>73</v>
      </c>
      <c r="O67" s="33" t="s">
        <v>24</v>
      </c>
      <c r="P67" s="33">
        <f>+VLOOKUP(O67,scoring!$U$10:$AA$105,7,FALSE)-72*3</f>
        <v>100</v>
      </c>
      <c r="Q67" s="33" t="s">
        <v>97</v>
      </c>
      <c r="R67" s="33">
        <f>+VLOOKUP(Q67,scoring!$U$10:$AA$105,7,FALSE)-72*3</f>
        <v>81</v>
      </c>
      <c r="S67" s="33" t="s">
        <v>175</v>
      </c>
      <c r="T67" s="33">
        <f>+VLOOKUP(S67,scoring!$U$10:$AA$105,7,FALSE)-72*3</f>
        <v>73</v>
      </c>
      <c r="U67" s="33">
        <f t="shared" si="1"/>
        <v>201</v>
      </c>
    </row>
    <row r="68" spans="1:21" ht="16" x14ac:dyDescent="0.2">
      <c r="A68" s="32">
        <v>34</v>
      </c>
      <c r="B68" s="33" t="s">
        <v>162</v>
      </c>
      <c r="C68" s="33" t="s">
        <v>156</v>
      </c>
      <c r="D68" s="33" t="s">
        <v>99</v>
      </c>
      <c r="E68" s="33" t="s">
        <v>69</v>
      </c>
      <c r="F68" s="33">
        <f>+VLOOKUP(E68,scoring!$U$10:$AA$105,7,FALSE)-72*3</f>
        <v>69</v>
      </c>
      <c r="G68" s="33" t="s">
        <v>75</v>
      </c>
      <c r="H68" s="33">
        <f>+VLOOKUP(G68,scoring!$U$10:$AA$105,7,FALSE)-72*3</f>
        <v>78</v>
      </c>
      <c r="I68" s="33" t="s">
        <v>50</v>
      </c>
      <c r="J68" s="33">
        <f>+VLOOKUP(I68,scoring!$U$10:$AA$105,7,FALSE)-72*3</f>
        <v>67</v>
      </c>
      <c r="K68" s="33" t="s">
        <v>27</v>
      </c>
      <c r="L68" s="33">
        <f>+VLOOKUP(K68,scoring!$U$10:$AA$105,7,FALSE)-72*3</f>
        <v>67</v>
      </c>
      <c r="M68" s="33" t="s">
        <v>22</v>
      </c>
      <c r="N68" s="33">
        <f>+VLOOKUP(M68,scoring!$U$10:$AA$105,7,FALSE)-72*3</f>
        <v>97</v>
      </c>
      <c r="O68" s="33" t="s">
        <v>32</v>
      </c>
      <c r="P68" s="33">
        <f>+VLOOKUP(O68,scoring!$U$10:$AA$105,7,FALSE)-72*3</f>
        <v>70</v>
      </c>
      <c r="Q68" s="33" t="s">
        <v>28</v>
      </c>
      <c r="R68" s="33">
        <f>+VLOOKUP(Q68,scoring!$U$10:$AA$105,7,FALSE)-72*3</f>
        <v>72</v>
      </c>
      <c r="S68" s="33" t="s">
        <v>168</v>
      </c>
      <c r="T68" s="33">
        <f>+VLOOKUP(S68,scoring!$U$10:$AA$105,7,FALSE)-72*3</f>
        <v>98</v>
      </c>
      <c r="U68" s="33">
        <f t="shared" si="1"/>
        <v>203</v>
      </c>
    </row>
    <row r="69" spans="1:21" ht="16" x14ac:dyDescent="0.2">
      <c r="A69" s="32">
        <v>16</v>
      </c>
      <c r="B69" s="33" t="s">
        <v>127</v>
      </c>
      <c r="C69" s="33" t="s">
        <v>80</v>
      </c>
      <c r="D69" s="33" t="s">
        <v>81</v>
      </c>
      <c r="E69" s="33" t="s">
        <v>34</v>
      </c>
      <c r="F69" s="33">
        <f>+VLOOKUP(E69,scoring!$U$10:$AA$105,7,FALSE)-72*3</f>
        <v>69</v>
      </c>
      <c r="G69" s="33" t="s">
        <v>34</v>
      </c>
      <c r="H69" s="33">
        <f>+VLOOKUP(G69,scoring!$U$10:$AA$105,7,FALSE)-72*3</f>
        <v>69</v>
      </c>
      <c r="I69" s="33" t="s">
        <v>34</v>
      </c>
      <c r="J69" s="33">
        <f>+VLOOKUP(I69,scoring!$U$10:$AA$105,7,FALSE)-72*3</f>
        <v>69</v>
      </c>
      <c r="K69" s="33" t="s">
        <v>54</v>
      </c>
      <c r="L69" s="33">
        <f>+VLOOKUP(K69,scoring!$U$10:$AA$105,7,FALSE)-72*3</f>
        <v>76</v>
      </c>
      <c r="M69" s="33" t="s">
        <v>25</v>
      </c>
      <c r="N69" s="33">
        <f>+VLOOKUP(M69,scoring!$U$10:$AA$105,7,FALSE)-72*3</f>
        <v>68</v>
      </c>
      <c r="O69" s="33" t="s">
        <v>26</v>
      </c>
      <c r="P69" s="33">
        <f>+VLOOKUP(O69,scoring!$U$10:$AA$105,7,FALSE)-72*3</f>
        <v>111</v>
      </c>
      <c r="Q69" s="33" t="s">
        <v>26</v>
      </c>
      <c r="R69" s="33">
        <f>+VLOOKUP(Q69,scoring!$U$10:$AA$105,7,FALSE)-72*3</f>
        <v>111</v>
      </c>
      <c r="S69" s="33" t="s">
        <v>26</v>
      </c>
      <c r="T69" s="33">
        <f>+VLOOKUP(S69,scoring!$U$10:$AA$105,7,FALSE)-72*3</f>
        <v>111</v>
      </c>
      <c r="U69" s="33">
        <f t="shared" si="1"/>
        <v>206</v>
      </c>
    </row>
    <row r="70" spans="1:21" ht="16" x14ac:dyDescent="0.2">
      <c r="A70" s="32">
        <v>20</v>
      </c>
      <c r="B70" s="33" t="s">
        <v>132</v>
      </c>
      <c r="C70" s="33" t="s">
        <v>134</v>
      </c>
      <c r="D70" s="33" t="s">
        <v>136</v>
      </c>
      <c r="E70" s="33" t="s">
        <v>34</v>
      </c>
      <c r="F70" s="33">
        <f>+VLOOKUP(E70,scoring!$U$10:$AA$105,7,FALSE)-72*3</f>
        <v>69</v>
      </c>
      <c r="G70" s="33" t="s">
        <v>34</v>
      </c>
      <c r="H70" s="33">
        <f>+VLOOKUP(G70,scoring!$U$10:$AA$105,7,FALSE)-72*3</f>
        <v>69</v>
      </c>
      <c r="I70" s="33" t="s">
        <v>34</v>
      </c>
      <c r="J70" s="33">
        <f>+VLOOKUP(I70,scoring!$U$10:$AA$105,7,FALSE)-72*3</f>
        <v>69</v>
      </c>
      <c r="K70" s="33" t="s">
        <v>54</v>
      </c>
      <c r="L70" s="33">
        <f>+VLOOKUP(K70,scoring!$U$10:$AA$105,7,FALSE)-72*3</f>
        <v>76</v>
      </c>
      <c r="M70" s="33" t="s">
        <v>25</v>
      </c>
      <c r="N70" s="33">
        <f>+VLOOKUP(M70,scoring!$U$10:$AA$105,7,FALSE)-72*3</f>
        <v>68</v>
      </c>
      <c r="O70" s="33" t="s">
        <v>26</v>
      </c>
      <c r="P70" s="33">
        <f>+VLOOKUP(O70,scoring!$U$10:$AA$105,7,FALSE)-72*3</f>
        <v>111</v>
      </c>
      <c r="Q70" s="33" t="s">
        <v>26</v>
      </c>
      <c r="R70" s="33">
        <f>+VLOOKUP(Q70,scoring!$U$10:$AA$105,7,FALSE)-72*3</f>
        <v>111</v>
      </c>
      <c r="S70" s="33" t="s">
        <v>26</v>
      </c>
      <c r="T70" s="33">
        <f>+VLOOKUP(S70,scoring!$U$10:$AA$105,7,FALSE)-72*3</f>
        <v>111</v>
      </c>
      <c r="U70" s="33">
        <f t="shared" si="1"/>
        <v>206</v>
      </c>
    </row>
    <row r="71" spans="1:21" ht="16" x14ac:dyDescent="0.2">
      <c r="A71" s="32">
        <v>4</v>
      </c>
      <c r="B71" s="33" t="s">
        <v>110</v>
      </c>
      <c r="C71" s="33" t="s">
        <v>77</v>
      </c>
      <c r="D71" s="33" t="s">
        <v>78</v>
      </c>
      <c r="E71" s="33" t="s">
        <v>15</v>
      </c>
      <c r="F71" s="33">
        <f>+VLOOKUP(E71,scoring!$U$10:$AA$105,7,FALSE)-72*3</f>
        <v>66</v>
      </c>
      <c r="G71" s="33" t="s">
        <v>33</v>
      </c>
      <c r="H71" s="33">
        <f>+VLOOKUP(G71,scoring!$U$10:$AA$105,7,FALSE)-72*3</f>
        <v>74</v>
      </c>
      <c r="I71" s="33" t="s">
        <v>37</v>
      </c>
      <c r="J71" s="33">
        <f>+VLOOKUP(I71,scoring!$U$10:$AA$105,7,FALSE)-72*3</f>
        <v>70</v>
      </c>
      <c r="K71" s="33" t="s">
        <v>41</v>
      </c>
      <c r="L71" s="33">
        <f>+VLOOKUP(K71,scoring!$U$10:$AA$105,7,FALSE)-72*3</f>
        <v>96</v>
      </c>
      <c r="M71" s="33" t="s">
        <v>42</v>
      </c>
      <c r="N71" s="33">
        <f>+VLOOKUP(M71,scoring!$U$10:$AA$105,7,FALSE)-72*3</f>
        <v>76</v>
      </c>
      <c r="O71" s="33" t="s">
        <v>42</v>
      </c>
      <c r="P71" s="33">
        <f>+VLOOKUP(O71,scoring!$U$10:$AA$105,7,FALSE)-72*3</f>
        <v>76</v>
      </c>
      <c r="Q71" s="33" t="s">
        <v>38</v>
      </c>
      <c r="R71" s="33">
        <f>+VLOOKUP(Q71,scoring!$U$10:$AA$105,7,FALSE)-72*3</f>
        <v>67</v>
      </c>
      <c r="S71" s="33" t="s">
        <v>171</v>
      </c>
      <c r="T71" s="33">
        <f>+VLOOKUP(S71,scoring!$U$10:$AA$105,7,FALSE)-72*3</f>
        <v>101</v>
      </c>
      <c r="U71" s="33">
        <f t="shared" si="1"/>
        <v>203</v>
      </c>
    </row>
    <row r="72" spans="1:21" ht="16" x14ac:dyDescent="0.2">
      <c r="A72" s="32">
        <v>32</v>
      </c>
      <c r="B72" s="33" t="s">
        <v>153</v>
      </c>
      <c r="C72" s="33" t="s">
        <v>89</v>
      </c>
      <c r="D72" s="33" t="s">
        <v>90</v>
      </c>
      <c r="E72" s="33" t="s">
        <v>34</v>
      </c>
      <c r="F72" s="33">
        <f>+VLOOKUP(E72,scoring!$U$10:$AA$105,7,FALSE)-72*3</f>
        <v>69</v>
      </c>
      <c r="G72" s="33" t="s">
        <v>32</v>
      </c>
      <c r="H72" s="33">
        <f>+VLOOKUP(G72,scoring!$U$10:$AA$105,7,FALSE)-72*3</f>
        <v>70</v>
      </c>
      <c r="I72" s="33" t="s">
        <v>41</v>
      </c>
      <c r="J72" s="33">
        <f>+VLOOKUP(I72,scoring!$U$10:$AA$105,7,FALSE)-72*3</f>
        <v>96</v>
      </c>
      <c r="K72" s="33" t="s">
        <v>94</v>
      </c>
      <c r="L72" s="33">
        <f>+VLOOKUP(K72,scoring!$U$10:$AA$105,7,FALSE)-72*3</f>
        <v>98</v>
      </c>
      <c r="M72" s="33" t="s">
        <v>28</v>
      </c>
      <c r="N72" s="33">
        <f>+VLOOKUP(M72,scoring!$U$10:$AA$105,7,FALSE)-72*3</f>
        <v>72</v>
      </c>
      <c r="O72" s="33" t="s">
        <v>169</v>
      </c>
      <c r="P72" s="33">
        <f>+VLOOKUP(O72,scoring!$U$10:$AA$105,7,FALSE)-72*3</f>
        <v>70</v>
      </c>
      <c r="Q72" s="33" t="s">
        <v>34</v>
      </c>
      <c r="R72" s="33">
        <f>+VLOOKUP(Q72,scoring!$U$10:$AA$105,7,FALSE)-72*3</f>
        <v>69</v>
      </c>
      <c r="S72" s="33" t="s">
        <v>94</v>
      </c>
      <c r="T72" s="33">
        <f>+VLOOKUP(S72,scoring!$U$10:$AA$105,7,FALSE)-72*3</f>
        <v>98</v>
      </c>
      <c r="U72" s="33">
        <f t="shared" si="1"/>
        <v>208</v>
      </c>
    </row>
    <row r="73" spans="1:21" ht="16" x14ac:dyDescent="0.2">
      <c r="A73" s="32">
        <v>35</v>
      </c>
      <c r="B73" s="33" t="s">
        <v>163</v>
      </c>
      <c r="C73" s="33" t="s">
        <v>72</v>
      </c>
      <c r="D73" s="33" t="s">
        <v>73</v>
      </c>
      <c r="E73" s="33" t="s">
        <v>14</v>
      </c>
      <c r="F73" s="33">
        <f>+VLOOKUP(E73,scoring!$U$10:$AA$105,7,FALSE)-72*3</f>
        <v>72</v>
      </c>
      <c r="G73" s="33" t="s">
        <v>14</v>
      </c>
      <c r="H73" s="33">
        <f>+VLOOKUP(G73,scoring!$U$10:$AA$105,7,FALSE)-72*3</f>
        <v>72</v>
      </c>
      <c r="I73" s="33" t="s">
        <v>34</v>
      </c>
      <c r="J73" s="33">
        <f>+VLOOKUP(I73,scoring!$U$10:$AA$105,7,FALSE)-72*3</f>
        <v>69</v>
      </c>
      <c r="K73" s="33" t="s">
        <v>34</v>
      </c>
      <c r="L73" s="33">
        <f>+VLOOKUP(K73,scoring!$U$10:$AA$105,7,FALSE)-72*3</f>
        <v>69</v>
      </c>
      <c r="M73" s="33" t="s">
        <v>75</v>
      </c>
      <c r="N73" s="33">
        <f>+VLOOKUP(M73,scoring!$U$10:$AA$105,7,FALSE)-72*3</f>
        <v>78</v>
      </c>
      <c r="O73" s="33" t="s">
        <v>25</v>
      </c>
      <c r="P73" s="33">
        <f>+VLOOKUP(O73,scoring!$U$10:$AA$105,7,FALSE)-72*3</f>
        <v>68</v>
      </c>
      <c r="Q73" s="33" t="s">
        <v>26</v>
      </c>
      <c r="R73" s="33">
        <f>+VLOOKUP(Q73,scoring!$U$10:$AA$105,7,FALSE)-72*3</f>
        <v>111</v>
      </c>
      <c r="S73" s="33" t="s">
        <v>26</v>
      </c>
      <c r="T73" s="33">
        <f>+VLOOKUP(S73,scoring!$U$10:$AA$105,7,FALSE)-72*3</f>
        <v>111</v>
      </c>
      <c r="U73" s="33">
        <f t="shared" si="1"/>
        <v>206</v>
      </c>
    </row>
    <row r="74" spans="1:21" ht="16" x14ac:dyDescent="0.2">
      <c r="A74" s="32">
        <v>2</v>
      </c>
      <c r="B74" s="33" t="s">
        <v>106</v>
      </c>
      <c r="C74" s="33" t="s">
        <v>95</v>
      </c>
      <c r="D74" s="33" t="s">
        <v>96</v>
      </c>
      <c r="E74" s="33" t="s">
        <v>27</v>
      </c>
      <c r="F74" s="33">
        <f>+VLOOKUP(E74,scoring!$U$10:$AA$105,7,FALSE)-72*3</f>
        <v>67</v>
      </c>
      <c r="G74" s="33" t="s">
        <v>27</v>
      </c>
      <c r="H74" s="33">
        <f>+VLOOKUP(G74,scoring!$U$10:$AA$105,7,FALSE)-72*3</f>
        <v>67</v>
      </c>
      <c r="I74" s="33" t="s">
        <v>20</v>
      </c>
      <c r="J74" s="33">
        <f>+VLOOKUP(I74,scoring!$U$10:$AA$105,7,FALSE)-72*3</f>
        <v>98</v>
      </c>
      <c r="K74" s="33" t="s">
        <v>20</v>
      </c>
      <c r="L74" s="33">
        <f>+VLOOKUP(K74,scoring!$U$10:$AA$105,7,FALSE)-72*3</f>
        <v>98</v>
      </c>
      <c r="M74" s="33" t="s">
        <v>22</v>
      </c>
      <c r="N74" s="33">
        <f>+VLOOKUP(M74,scoring!$U$10:$AA$105,7,FALSE)-72*3</f>
        <v>97</v>
      </c>
      <c r="O74" s="33" t="s">
        <v>22</v>
      </c>
      <c r="P74" s="33">
        <f>+VLOOKUP(O74,scoring!$U$10:$AA$105,7,FALSE)-72*3</f>
        <v>97</v>
      </c>
      <c r="Q74" s="33" t="s">
        <v>24</v>
      </c>
      <c r="R74" s="33">
        <f>+VLOOKUP(Q74,scoring!$U$10:$AA$105,7,FALSE)-72*3</f>
        <v>100</v>
      </c>
      <c r="S74" s="33" t="s">
        <v>170</v>
      </c>
      <c r="T74" s="33">
        <f>+VLOOKUP(S74,scoring!$U$10:$AA$105,7,FALSE)-72*3</f>
        <v>73</v>
      </c>
      <c r="U74" s="33">
        <f t="shared" si="1"/>
        <v>207</v>
      </c>
    </row>
    <row r="75" spans="1:21" ht="16" x14ac:dyDescent="0.2">
      <c r="A75" s="32">
        <v>31</v>
      </c>
      <c r="B75" s="33" t="s">
        <v>91</v>
      </c>
      <c r="C75" s="33" t="s">
        <v>92</v>
      </c>
      <c r="D75" s="33" t="s">
        <v>93</v>
      </c>
      <c r="E75" s="33" t="s">
        <v>34</v>
      </c>
      <c r="F75" s="33">
        <f>+VLOOKUP(E75,scoring!$U$10:$AA$105,7,FALSE)-72*3</f>
        <v>69</v>
      </c>
      <c r="G75" s="33" t="s">
        <v>27</v>
      </c>
      <c r="H75" s="33">
        <f>+VLOOKUP(G75,scoring!$U$10:$AA$105,7,FALSE)-72*3</f>
        <v>67</v>
      </c>
      <c r="I75" s="33" t="s">
        <v>20</v>
      </c>
      <c r="J75" s="33">
        <f>+VLOOKUP(I75,scoring!$U$10:$AA$105,7,FALSE)-72*3</f>
        <v>98</v>
      </c>
      <c r="K75" s="33" t="s">
        <v>74</v>
      </c>
      <c r="L75" s="33">
        <f>+VLOOKUP(K75,scoring!$U$10:$AA$105,7,FALSE)-72*3</f>
        <v>69</v>
      </c>
      <c r="M75" s="33" t="s">
        <v>37</v>
      </c>
      <c r="N75" s="33">
        <f>+VLOOKUP(M75,scoring!$U$10:$AA$105,7,FALSE)-72*3</f>
        <v>70</v>
      </c>
      <c r="O75" s="33" t="s">
        <v>179</v>
      </c>
      <c r="P75" s="33">
        <f>+VLOOKUP(O75,scoring!$U$10:$AA$105,7,FALSE)-72*3</f>
        <v>73</v>
      </c>
      <c r="Q75" s="33" t="s">
        <v>26</v>
      </c>
      <c r="R75" s="33">
        <f>+VLOOKUP(Q75,scoring!$U$10:$AA$105,7,FALSE)-72*3</f>
        <v>111</v>
      </c>
      <c r="S75" s="33" t="s">
        <v>26</v>
      </c>
      <c r="T75" s="33">
        <f>+VLOOKUP(S75,scoring!$U$10:$AA$105,7,FALSE)-72*3</f>
        <v>111</v>
      </c>
      <c r="U75" s="33">
        <f t="shared" si="1"/>
        <v>205</v>
      </c>
    </row>
    <row r="76" spans="1:21" ht="16" x14ac:dyDescent="0.2">
      <c r="A76" s="32">
        <v>1</v>
      </c>
      <c r="B76" s="33" t="s">
        <v>104</v>
      </c>
      <c r="C76" s="33" t="s">
        <v>79</v>
      </c>
      <c r="D76" s="33" t="s">
        <v>105</v>
      </c>
      <c r="E76" s="33" t="s">
        <v>15</v>
      </c>
      <c r="F76" s="35">
        <f>+VLOOKUP(E76,scoring!$U$10:$AA$105,7,FALSE)-72*3</f>
        <v>66</v>
      </c>
      <c r="G76" s="33" t="s">
        <v>20</v>
      </c>
      <c r="H76" s="35">
        <f>+VLOOKUP(G76,scoring!$U$10:$AA$105,7,FALSE)-72*3</f>
        <v>98</v>
      </c>
      <c r="I76" s="33" t="s">
        <v>58</v>
      </c>
      <c r="J76" s="35">
        <f>+VLOOKUP(I76,scoring!$U$10:$AA$105,7,FALSE)-72*3</f>
        <v>70</v>
      </c>
      <c r="K76" s="33" t="s">
        <v>44</v>
      </c>
      <c r="L76" s="35">
        <f>+VLOOKUP(K76,scoring!$U$10:$AA$105,7,FALSE)-72*3</f>
        <v>74</v>
      </c>
      <c r="M76" s="33" t="s">
        <v>30</v>
      </c>
      <c r="N76" s="35">
        <f>+VLOOKUP(M76,scoring!$U$10:$AA$105,7,FALSE)-72*3</f>
        <v>97</v>
      </c>
      <c r="O76" s="33" t="s">
        <v>30</v>
      </c>
      <c r="P76" s="35">
        <f>+VLOOKUP(O76,scoring!$U$10:$AA$105,7,FALSE)-72*3</f>
        <v>97</v>
      </c>
      <c r="Q76" s="33" t="s">
        <v>74</v>
      </c>
      <c r="R76" s="35">
        <f>+VLOOKUP(Q76,scoring!$U$10:$AA$105,7,FALSE)-72*3</f>
        <v>69</v>
      </c>
      <c r="S76" s="33" t="s">
        <v>24</v>
      </c>
      <c r="T76" s="35">
        <f>+VLOOKUP(S76,scoring!$U$10:$AA$105,7,FALSE)-72*3</f>
        <v>100</v>
      </c>
      <c r="U76" s="35">
        <f t="shared" si="1"/>
        <v>205</v>
      </c>
    </row>
    <row r="77" spans="1:21" ht="16" x14ac:dyDescent="0.2">
      <c r="A77" s="32">
        <v>13</v>
      </c>
      <c r="B77" s="33" t="s">
        <v>124</v>
      </c>
      <c r="C77" s="33" t="s">
        <v>12</v>
      </c>
      <c r="D77" s="33" t="s">
        <v>13</v>
      </c>
      <c r="E77" s="33" t="s">
        <v>14</v>
      </c>
      <c r="F77" s="33">
        <f>+VLOOKUP(E77,scoring!$U$10:$AA$105,7,FALSE)-72*3</f>
        <v>72</v>
      </c>
      <c r="G77" s="33" t="s">
        <v>14</v>
      </c>
      <c r="H77" s="33">
        <f>+VLOOKUP(G77,scoring!$U$10:$AA$105,7,FALSE)-72*3</f>
        <v>72</v>
      </c>
      <c r="I77" s="33" t="s">
        <v>14</v>
      </c>
      <c r="J77" s="33">
        <f>+VLOOKUP(I77,scoring!$U$10:$AA$105,7,FALSE)-72*3</f>
        <v>72</v>
      </c>
      <c r="K77" s="33" t="s">
        <v>42</v>
      </c>
      <c r="L77" s="33">
        <f>+VLOOKUP(K77,scoring!$U$10:$AA$105,7,FALSE)-72*3</f>
        <v>76</v>
      </c>
      <c r="M77" s="33" t="s">
        <v>42</v>
      </c>
      <c r="N77" s="33">
        <f>+VLOOKUP(M77,scoring!$U$10:$AA$105,7,FALSE)-72*3</f>
        <v>76</v>
      </c>
      <c r="O77" s="33" t="s">
        <v>42</v>
      </c>
      <c r="P77" s="33">
        <f>+VLOOKUP(O77,scoring!$U$10:$AA$105,7,FALSE)-72*3</f>
        <v>76</v>
      </c>
      <c r="Q77" s="33" t="s">
        <v>34</v>
      </c>
      <c r="R77" s="33">
        <f>+VLOOKUP(Q77,scoring!$U$10:$AA$105,7,FALSE)-72*3</f>
        <v>69</v>
      </c>
      <c r="S77" s="33" t="s">
        <v>26</v>
      </c>
      <c r="T77" s="33">
        <f>+VLOOKUP(S77,scoring!$U$10:$AA$105,7,FALSE)-72*3</f>
        <v>111</v>
      </c>
      <c r="U77" s="33">
        <f t="shared" si="1"/>
        <v>213</v>
      </c>
    </row>
    <row r="78" spans="1:21" ht="16" x14ac:dyDescent="0.2">
      <c r="A78" s="32">
        <v>25</v>
      </c>
      <c r="B78" s="33" t="s">
        <v>144</v>
      </c>
      <c r="C78" s="33" t="s">
        <v>48</v>
      </c>
      <c r="D78" s="33" t="s">
        <v>49</v>
      </c>
      <c r="E78" s="33" t="s">
        <v>27</v>
      </c>
      <c r="F78" s="33">
        <f>+VLOOKUP(E78,scoring!$U$10:$AA$105,7,FALSE)-72*3</f>
        <v>67</v>
      </c>
      <c r="G78" s="33" t="s">
        <v>33</v>
      </c>
      <c r="H78" s="33">
        <f>+VLOOKUP(G78,scoring!$U$10:$AA$105,7,FALSE)-72*3</f>
        <v>74</v>
      </c>
      <c r="I78" s="33" t="s">
        <v>41</v>
      </c>
      <c r="J78" s="33">
        <f>+VLOOKUP(I78,scoring!$U$10:$AA$105,7,FALSE)-72*3</f>
        <v>96</v>
      </c>
      <c r="K78" s="33" t="s">
        <v>75</v>
      </c>
      <c r="L78" s="33">
        <f>+VLOOKUP(K78,scoring!$U$10:$AA$105,7,FALSE)-72*3</f>
        <v>78</v>
      </c>
      <c r="M78" s="33" t="s">
        <v>34</v>
      </c>
      <c r="N78" s="33">
        <f>+VLOOKUP(M78,scoring!$U$10:$AA$105,7,FALSE)-72*3</f>
        <v>69</v>
      </c>
      <c r="O78" s="33" t="s">
        <v>16</v>
      </c>
      <c r="P78" s="33">
        <f>+VLOOKUP(O78,scoring!$U$10:$AA$105,7,FALSE)-72*3</f>
        <v>96</v>
      </c>
      <c r="Q78" s="33" t="s">
        <v>168</v>
      </c>
      <c r="R78" s="33">
        <f>+VLOOKUP(Q78,scoring!$U$10:$AA$105,7,FALSE)-72*3</f>
        <v>98</v>
      </c>
      <c r="S78" s="33" t="s">
        <v>26</v>
      </c>
      <c r="T78" s="33">
        <f>+VLOOKUP(S78,scoring!$U$10:$AA$105,7,FALSE)-72*3</f>
        <v>111</v>
      </c>
      <c r="U78" s="33">
        <f t="shared" si="1"/>
        <v>210</v>
      </c>
    </row>
    <row r="79" spans="1:21" ht="16" x14ac:dyDescent="0.2">
      <c r="A79" s="32">
        <v>26</v>
      </c>
      <c r="B79" s="33" t="s">
        <v>145</v>
      </c>
      <c r="C79" s="33" t="s">
        <v>67</v>
      </c>
      <c r="D79" s="33" t="s">
        <v>68</v>
      </c>
      <c r="E79" s="33" t="s">
        <v>69</v>
      </c>
      <c r="F79" s="33">
        <f>+VLOOKUP(E79,scoring!$U$10:$AA$105,7,FALSE)-72*3</f>
        <v>69</v>
      </c>
      <c r="G79" s="33" t="s">
        <v>15</v>
      </c>
      <c r="H79" s="33">
        <f>+VLOOKUP(G79,scoring!$U$10:$AA$105,7,FALSE)-72*3</f>
        <v>66</v>
      </c>
      <c r="I79" s="33" t="s">
        <v>37</v>
      </c>
      <c r="J79" s="33">
        <f>+VLOOKUP(I79,scoring!$U$10:$AA$105,7,FALSE)-72*3</f>
        <v>70</v>
      </c>
      <c r="K79" s="33" t="s">
        <v>20</v>
      </c>
      <c r="L79" s="33">
        <f>+VLOOKUP(K79,scoring!$U$10:$AA$105,7,FALSE)-72*3</f>
        <v>98</v>
      </c>
      <c r="M79" s="33" t="s">
        <v>23</v>
      </c>
      <c r="N79" s="33">
        <f>+VLOOKUP(M79,scoring!$U$10:$AA$105,7,FALSE)-72*3</f>
        <v>98</v>
      </c>
      <c r="O79" s="33" t="s">
        <v>26</v>
      </c>
      <c r="P79" s="33">
        <f>+VLOOKUP(O79,scoring!$U$10:$AA$105,7,FALSE)-72*3</f>
        <v>111</v>
      </c>
      <c r="Q79" s="33" t="s">
        <v>26</v>
      </c>
      <c r="R79" s="33">
        <f>+VLOOKUP(Q79,scoring!$U$10:$AA$105,7,FALSE)-72*3</f>
        <v>111</v>
      </c>
      <c r="S79" s="33" t="s">
        <v>26</v>
      </c>
      <c r="T79" s="33">
        <f>+VLOOKUP(S79,scoring!$U$10:$AA$105,7,FALSE)-72*3</f>
        <v>111</v>
      </c>
      <c r="U79" s="33">
        <f t="shared" si="1"/>
        <v>205</v>
      </c>
    </row>
    <row r="80" spans="1:21" ht="16" x14ac:dyDescent="0.2">
      <c r="A80" s="32">
        <v>24</v>
      </c>
      <c r="B80" s="33" t="s">
        <v>140</v>
      </c>
      <c r="C80" s="33" t="s">
        <v>141</v>
      </c>
      <c r="D80" s="33" t="s">
        <v>143</v>
      </c>
      <c r="E80" s="33" t="s">
        <v>43</v>
      </c>
      <c r="F80" s="33">
        <f>+VLOOKUP(E80,scoring!$U$10:$AA$105,7,FALSE)-72*3</f>
        <v>61</v>
      </c>
      <c r="G80" s="33" t="s">
        <v>14</v>
      </c>
      <c r="H80" s="33">
        <f>+VLOOKUP(G80,scoring!$U$10:$AA$105,7,FALSE)-72*3</f>
        <v>72</v>
      </c>
      <c r="I80" s="33" t="s">
        <v>20</v>
      </c>
      <c r="J80" s="33">
        <f>+VLOOKUP(I80,scoring!$U$10:$AA$105,7,FALSE)-72*3</f>
        <v>98</v>
      </c>
      <c r="K80" s="33" t="s">
        <v>61</v>
      </c>
      <c r="L80" s="33">
        <f>+VLOOKUP(K80,scoring!$U$10:$AA$105,7,FALSE)-72*3</f>
        <v>98</v>
      </c>
      <c r="M80" s="33" t="s">
        <v>26</v>
      </c>
      <c r="N80" s="33">
        <f>+VLOOKUP(M80,scoring!$U$10:$AA$105,7,FALSE)-72*3</f>
        <v>111</v>
      </c>
      <c r="O80" s="33" t="s">
        <v>26</v>
      </c>
      <c r="P80" s="33">
        <f>+VLOOKUP(O80,scoring!$U$10:$AA$105,7,FALSE)-72*3</f>
        <v>111</v>
      </c>
      <c r="Q80" s="33" t="s">
        <v>26</v>
      </c>
      <c r="R80" s="33">
        <f>+VLOOKUP(Q80,scoring!$U$10:$AA$105,7,FALSE)-72*3</f>
        <v>111</v>
      </c>
      <c r="S80" s="33" t="s">
        <v>26</v>
      </c>
      <c r="T80" s="33">
        <f>+VLOOKUP(S80,scoring!$U$10:$AA$105,7,FALSE)-72*3</f>
        <v>111</v>
      </c>
      <c r="U80" s="33">
        <f t="shared" si="1"/>
        <v>231</v>
      </c>
    </row>
    <row r="81" spans="1:21" ht="16" x14ac:dyDescent="0.2">
      <c r="A81" s="32">
        <v>5</v>
      </c>
      <c r="B81" s="33" t="s">
        <v>146</v>
      </c>
      <c r="C81" s="33" t="s">
        <v>59</v>
      </c>
      <c r="D81" s="33" t="s">
        <v>60</v>
      </c>
      <c r="E81" s="33" t="s">
        <v>33</v>
      </c>
      <c r="F81" s="33">
        <f>+VLOOKUP(E81,scoring!$U$10:$AA$105,7,FALSE)-72*3</f>
        <v>74</v>
      </c>
      <c r="G81" s="33" t="s">
        <v>33</v>
      </c>
      <c r="H81" s="33">
        <f>+VLOOKUP(G81,scoring!$U$10:$AA$105,7,FALSE)-72*3</f>
        <v>74</v>
      </c>
      <c r="I81" s="33" t="s">
        <v>54</v>
      </c>
      <c r="J81" s="33">
        <f>+VLOOKUP(I81,scoring!$U$10:$AA$105,7,FALSE)-72*3</f>
        <v>76</v>
      </c>
      <c r="K81" s="33" t="s">
        <v>41</v>
      </c>
      <c r="L81" s="33">
        <f>+VLOOKUP(K81,scoring!$U$10:$AA$105,7,FALSE)-72*3</f>
        <v>96</v>
      </c>
      <c r="M81" s="33" t="s">
        <v>41</v>
      </c>
      <c r="N81" s="33">
        <f>+VLOOKUP(M81,scoring!$U$10:$AA$105,7,FALSE)-72*3</f>
        <v>96</v>
      </c>
      <c r="O81" s="33" t="s">
        <v>165</v>
      </c>
      <c r="P81" s="33">
        <f>+VLOOKUP(O81,scoring!$U$10:$AA$105,7,FALSE)-72*3</f>
        <v>99</v>
      </c>
      <c r="Q81" s="33" t="s">
        <v>75</v>
      </c>
      <c r="R81" s="33">
        <f>+VLOOKUP(Q81,scoring!$U$10:$AA$105,7,FALSE)-72*3</f>
        <v>78</v>
      </c>
      <c r="S81" s="33" t="s">
        <v>21</v>
      </c>
      <c r="T81" s="33">
        <f>+VLOOKUP(S81,scoring!$U$10:$AA$105,7,FALSE)-72*3</f>
        <v>101</v>
      </c>
      <c r="U81" s="33">
        <f t="shared" si="1"/>
        <v>224</v>
      </c>
    </row>
    <row r="82" spans="1:21" ht="16" x14ac:dyDescent="0.2">
      <c r="A82" s="32">
        <v>3</v>
      </c>
      <c r="B82" s="33" t="s">
        <v>109</v>
      </c>
      <c r="C82" s="33" t="s">
        <v>107</v>
      </c>
      <c r="D82" s="33" t="s">
        <v>108</v>
      </c>
      <c r="E82" s="33" t="s">
        <v>34</v>
      </c>
      <c r="F82" s="33">
        <f>+VLOOKUP(E82,scoring!$U$10:$AA$105,7,FALSE)-72*3</f>
        <v>69</v>
      </c>
      <c r="G82" s="33" t="s">
        <v>37</v>
      </c>
      <c r="H82" s="33">
        <f>+VLOOKUP(G82,scoring!$U$10:$AA$105,7,FALSE)-72*3</f>
        <v>70</v>
      </c>
      <c r="I82" s="33" t="s">
        <v>37</v>
      </c>
      <c r="J82" s="33">
        <f>+VLOOKUP(I82,scoring!$U$10:$AA$105,7,FALSE)-72*3</f>
        <v>70</v>
      </c>
      <c r="K82" s="33" t="s">
        <v>20</v>
      </c>
      <c r="L82" s="33">
        <f>+VLOOKUP(K82,scoring!$U$10:$AA$105,7,FALSE)-72*3</f>
        <v>98</v>
      </c>
      <c r="M82" s="33" t="s">
        <v>165</v>
      </c>
      <c r="N82" s="33">
        <f>+VLOOKUP(M82,scoring!$U$10:$AA$105,7,FALSE)-72*3</f>
        <v>99</v>
      </c>
      <c r="O82" s="33" t="s">
        <v>21</v>
      </c>
      <c r="P82" s="33">
        <f>+VLOOKUP(O82,scoring!$U$10:$AA$105,7,FALSE)-72*3</f>
        <v>101</v>
      </c>
      <c r="Q82" s="33" t="s">
        <v>64</v>
      </c>
      <c r="R82" s="33">
        <f>+VLOOKUP(Q82,scoring!$U$10:$AA$105,7,FALSE)-72*3</f>
        <v>98</v>
      </c>
      <c r="S82" s="33" t="s">
        <v>174</v>
      </c>
      <c r="T82" s="33">
        <f>+VLOOKUP(S82,scoring!$U$10:$AA$105,7,FALSE)-72*3</f>
        <v>103</v>
      </c>
      <c r="U82" s="33">
        <f t="shared" si="1"/>
        <v>209</v>
      </c>
    </row>
    <row r="83" spans="1:21" ht="16" x14ac:dyDescent="0.2">
      <c r="A83" s="32">
        <v>9</v>
      </c>
      <c r="B83" s="33" t="s">
        <v>114</v>
      </c>
      <c r="C83" s="33" t="s">
        <v>115</v>
      </c>
      <c r="D83" s="33" t="s">
        <v>116</v>
      </c>
      <c r="E83" s="33" t="s">
        <v>34</v>
      </c>
      <c r="F83" s="33">
        <f>+VLOOKUP(E83,scoring!$U$10:$AA$105,7,FALSE)-72*3</f>
        <v>69</v>
      </c>
      <c r="G83" s="33" t="s">
        <v>34</v>
      </c>
      <c r="H83" s="33">
        <f>+VLOOKUP(G83,scoring!$U$10:$AA$105,7,FALSE)-72*3</f>
        <v>69</v>
      </c>
      <c r="I83" s="33" t="s">
        <v>41</v>
      </c>
      <c r="J83" s="33">
        <f>+VLOOKUP(I83,scoring!$U$10:$AA$105,7,FALSE)-72*3</f>
        <v>96</v>
      </c>
      <c r="K83" s="33" t="s">
        <v>165</v>
      </c>
      <c r="L83" s="33">
        <f>+VLOOKUP(K83,scoring!$U$10:$AA$105,7,FALSE)-72*3</f>
        <v>99</v>
      </c>
      <c r="M83" s="33" t="s">
        <v>165</v>
      </c>
      <c r="N83" s="33">
        <f>+VLOOKUP(M83,scoring!$U$10:$AA$105,7,FALSE)-72*3</f>
        <v>99</v>
      </c>
      <c r="O83" s="33" t="s">
        <v>21</v>
      </c>
      <c r="P83" s="33">
        <f>+VLOOKUP(O83,scoring!$U$10:$AA$105,7,FALSE)-72*3</f>
        <v>101</v>
      </c>
      <c r="Q83" s="33" t="s">
        <v>21</v>
      </c>
      <c r="R83" s="33">
        <f>+VLOOKUP(Q83,scoring!$U$10:$AA$105,7,FALSE)-72*3</f>
        <v>101</v>
      </c>
      <c r="S83" s="33" t="s">
        <v>26</v>
      </c>
      <c r="T83" s="33">
        <f>+VLOOKUP(S83,scoring!$U$10:$AA$105,7,FALSE)-72*3</f>
        <v>111</v>
      </c>
      <c r="U83" s="33">
        <f t="shared" si="1"/>
        <v>234</v>
      </c>
    </row>
    <row r="84" spans="1:21" ht="16" x14ac:dyDescent="0.2">
      <c r="A84" s="32">
        <v>14</v>
      </c>
      <c r="B84" s="33" t="s">
        <v>125</v>
      </c>
      <c r="C84" s="33" t="s">
        <v>39</v>
      </c>
      <c r="D84" s="33" t="s">
        <v>40</v>
      </c>
      <c r="E84" s="33" t="s">
        <v>15</v>
      </c>
      <c r="F84" s="33">
        <f>+VLOOKUP(E84,scoring!$U$10:$AA$105,7,FALSE)-72*3</f>
        <v>66</v>
      </c>
      <c r="G84" s="33" t="s">
        <v>41</v>
      </c>
      <c r="H84" s="33">
        <f>+VLOOKUP(G84,scoring!$U$10:$AA$105,7,FALSE)-72*3</f>
        <v>96</v>
      </c>
      <c r="I84" s="33" t="s">
        <v>41</v>
      </c>
      <c r="J84" s="33">
        <f>+VLOOKUP(I84,scoring!$U$10:$AA$105,7,FALSE)-72*3</f>
        <v>96</v>
      </c>
      <c r="K84" s="33" t="s">
        <v>41</v>
      </c>
      <c r="L84" s="33">
        <f>+VLOOKUP(K84,scoring!$U$10:$AA$105,7,FALSE)-72*3</f>
        <v>96</v>
      </c>
      <c r="M84" s="33" t="s">
        <v>23</v>
      </c>
      <c r="N84" s="33">
        <f>+VLOOKUP(M84,scoring!$U$10:$AA$105,7,FALSE)-72*3</f>
        <v>98</v>
      </c>
      <c r="O84" s="33" t="s">
        <v>23</v>
      </c>
      <c r="P84" s="33">
        <f>+VLOOKUP(O84,scoring!$U$10:$AA$105,7,FALSE)-72*3</f>
        <v>98</v>
      </c>
      <c r="Q84" s="33" t="s">
        <v>23</v>
      </c>
      <c r="R84" s="33">
        <f>+VLOOKUP(Q84,scoring!$U$10:$AA$105,7,FALSE)-72*3</f>
        <v>98</v>
      </c>
      <c r="S84" s="33" t="s">
        <v>20</v>
      </c>
      <c r="T84" s="33">
        <f>+VLOOKUP(S84,scoring!$U$10:$AA$105,7,FALSE)-72*3</f>
        <v>98</v>
      </c>
      <c r="U84" s="33">
        <f t="shared" si="1"/>
        <v>258</v>
      </c>
    </row>
    <row r="86" spans="1:21" ht="16" x14ac:dyDescent="0.2">
      <c r="B86" s="29" t="s">
        <v>113</v>
      </c>
      <c r="C86" s="30" t="s">
        <v>65</v>
      </c>
      <c r="D86" s="30" t="s">
        <v>66</v>
      </c>
      <c r="E86" s="30" t="s">
        <v>27</v>
      </c>
      <c r="F86" s="30">
        <f>+VLOOKUP(E86,scoring!$U$10:$AA$105,7,FALSE)-72*3</f>
        <v>67</v>
      </c>
      <c r="G86" s="30" t="s">
        <v>27</v>
      </c>
      <c r="H86" s="30">
        <f>+VLOOKUP(G86,scoring!$U$10:$AA$105,7,FALSE)-72*3</f>
        <v>67</v>
      </c>
      <c r="I86" s="30" t="s">
        <v>47</v>
      </c>
      <c r="J86" s="30">
        <f>+VLOOKUP(I86,scoring!$U$10:$AA$105,7,FALSE)-72*3</f>
        <v>65</v>
      </c>
      <c r="K86" s="30" t="s">
        <v>54</v>
      </c>
      <c r="L86" s="30">
        <f>+VLOOKUP(K86,scoring!$U$10:$AA$105,7,FALSE)-72*3</f>
        <v>76</v>
      </c>
      <c r="M86" s="30" t="s">
        <v>38</v>
      </c>
      <c r="N86" s="30">
        <f>+VLOOKUP(M86,scoring!$U$10:$AA$105,7,FALSE)-72*3</f>
        <v>67</v>
      </c>
      <c r="O86" s="30" t="s">
        <v>94</v>
      </c>
      <c r="P86" s="30">
        <f>+VLOOKUP(O86,scoring!$U$10:$AA$105,7,FALSE)-72*3</f>
        <v>98</v>
      </c>
      <c r="Q86" s="30" t="s">
        <v>26</v>
      </c>
      <c r="R86" s="30">
        <f>+VLOOKUP(Q86,scoring!$U$10:$AA$105,7,FALSE)-72*3</f>
        <v>111</v>
      </c>
      <c r="S86" s="30" t="s">
        <v>26</v>
      </c>
      <c r="T86" s="30">
        <f>+VLOOKUP(S86,scoring!$U$10:$AA$105,7,FALSE)-72*3</f>
        <v>111</v>
      </c>
      <c r="U86" s="30">
        <f t="shared" ref="U86:U90" si="2">IFERROR(SMALL(E86:T86,1)+SMALL(E86:T86,2)+SMALL(E86:T86,3),IFERROR(SMALL(E86:T86,1)+SMALL(E86:T86,2),IFERROR(SMALL(E86:T86,1),"-")))</f>
        <v>199</v>
      </c>
    </row>
    <row r="87" spans="1:21" ht="16" x14ac:dyDescent="0.2">
      <c r="B87" s="31" t="s">
        <v>17</v>
      </c>
      <c r="C87" s="27" t="s">
        <v>18</v>
      </c>
      <c r="D87" s="27" t="s">
        <v>19</v>
      </c>
      <c r="E87" s="27" t="s">
        <v>15</v>
      </c>
      <c r="F87" s="27">
        <f>+VLOOKUP(E87,scoring!$U$10:$AA$105,7,FALSE)-72*3</f>
        <v>66</v>
      </c>
      <c r="G87" s="27" t="s">
        <v>15</v>
      </c>
      <c r="H87" s="27">
        <f>+VLOOKUP(G87,scoring!$U$10:$AA$105,7,FALSE)-72*3</f>
        <v>66</v>
      </c>
      <c r="I87" s="27" t="s">
        <v>47</v>
      </c>
      <c r="J87" s="27">
        <f>+VLOOKUP(I87,scoring!$U$10:$AA$105,7,FALSE)-72*3</f>
        <v>65</v>
      </c>
      <c r="K87" s="27" t="s">
        <v>75</v>
      </c>
      <c r="L87" s="27">
        <f>+VLOOKUP(K87,scoring!$U$10:$AA$105,7,FALSE)-72*3</f>
        <v>78</v>
      </c>
      <c r="M87" s="27" t="s">
        <v>28</v>
      </c>
      <c r="N87" s="27">
        <f>+VLOOKUP(M87,scoring!$U$10:$AA$105,7,FALSE)-72*3</f>
        <v>72</v>
      </c>
      <c r="O87" s="27" t="s">
        <v>168</v>
      </c>
      <c r="P87" s="27">
        <f>+VLOOKUP(O87,scoring!$U$10:$AA$105,7,FALSE)-72*3</f>
        <v>98</v>
      </c>
      <c r="Q87" s="27" t="s">
        <v>24</v>
      </c>
      <c r="R87" s="27">
        <f>+VLOOKUP(Q87,scoring!$U$10:$AA$105,7,FALSE)-72*3</f>
        <v>100</v>
      </c>
      <c r="S87" s="27" t="s">
        <v>177</v>
      </c>
      <c r="T87" s="27">
        <f>+VLOOKUP(S87,scoring!$U$10:$AA$105,7,FALSE)-72*3</f>
        <v>99</v>
      </c>
      <c r="U87" s="27">
        <f t="shared" si="2"/>
        <v>197</v>
      </c>
    </row>
    <row r="88" spans="1:21" ht="16" x14ac:dyDescent="0.2">
      <c r="B88" s="31" t="s">
        <v>247</v>
      </c>
      <c r="C88" s="28" t="s">
        <v>121</v>
      </c>
      <c r="D88" s="27" t="s">
        <v>100</v>
      </c>
      <c r="E88" s="27" t="s">
        <v>69</v>
      </c>
      <c r="F88" s="27">
        <f>+VLOOKUP(E88,scoring!$U$10:$AA$105,7,FALSE)-72*3</f>
        <v>69</v>
      </c>
      <c r="G88" s="27" t="s">
        <v>47</v>
      </c>
      <c r="H88" s="27">
        <f>+VLOOKUP(G88,scoring!$U$10:$AA$105,7,FALSE)-72*3</f>
        <v>65</v>
      </c>
      <c r="I88" s="27" t="s">
        <v>20</v>
      </c>
      <c r="J88" s="27">
        <f>+VLOOKUP(I88,scoring!$U$10:$AA$105,7,FALSE)-72*3</f>
        <v>98</v>
      </c>
      <c r="K88" s="27" t="s">
        <v>74</v>
      </c>
      <c r="L88" s="27">
        <f>+VLOOKUP(K88,scoring!$U$10:$AA$105,7,FALSE)-72*3</f>
        <v>69</v>
      </c>
      <c r="M88" s="27" t="s">
        <v>29</v>
      </c>
      <c r="N88" s="27">
        <f>+VLOOKUP(M88,scoring!$U$10:$AA$105,7,FALSE)-72*3</f>
        <v>63</v>
      </c>
      <c r="O88" s="27" t="s">
        <v>51</v>
      </c>
      <c r="P88" s="27">
        <f>+VLOOKUP(O88,scoring!$U$10:$AA$105,7,FALSE)-72*3</f>
        <v>61</v>
      </c>
      <c r="Q88" s="27" t="s">
        <v>172</v>
      </c>
      <c r="R88" s="27">
        <f>+VLOOKUP(Q88,scoring!$U$10:$AA$105,7,FALSE)-72*3</f>
        <v>99</v>
      </c>
      <c r="S88" s="27" t="s">
        <v>173</v>
      </c>
      <c r="T88" s="27">
        <f>+VLOOKUP(S88,scoring!$U$10:$AA$105,7,FALSE)-72*3</f>
        <v>68</v>
      </c>
      <c r="U88" s="27">
        <f t="shared" si="2"/>
        <v>189</v>
      </c>
    </row>
    <row r="89" spans="1:21" ht="16" x14ac:dyDescent="0.2">
      <c r="B89" s="31" t="s">
        <v>139</v>
      </c>
      <c r="C89" s="27" t="s">
        <v>141</v>
      </c>
      <c r="D89" s="27" t="s">
        <v>142</v>
      </c>
      <c r="E89" s="27" t="s">
        <v>15</v>
      </c>
      <c r="F89" s="27">
        <f>+VLOOKUP(E89,scoring!$U$10:$AA$105,7,FALSE)-72*3</f>
        <v>66</v>
      </c>
      <c r="G89" s="27" t="s">
        <v>15</v>
      </c>
      <c r="H89" s="27">
        <f>+VLOOKUP(G89,scoring!$U$10:$AA$105,7,FALSE)-72*3</f>
        <v>66</v>
      </c>
      <c r="I89" s="27" t="s">
        <v>15</v>
      </c>
      <c r="J89" s="27">
        <f>+VLOOKUP(I89,scoring!$U$10:$AA$105,7,FALSE)-72*3</f>
        <v>66</v>
      </c>
      <c r="K89" s="27" t="s">
        <v>23</v>
      </c>
      <c r="L89" s="27">
        <f>+VLOOKUP(K89,scoring!$U$10:$AA$105,7,FALSE)-72*3</f>
        <v>98</v>
      </c>
      <c r="M89" s="27" t="s">
        <v>38</v>
      </c>
      <c r="N89" s="27">
        <f>+VLOOKUP(M89,scoring!$U$10:$AA$105,7,FALSE)-72*3</f>
        <v>67</v>
      </c>
      <c r="O89" s="27" t="s">
        <v>26</v>
      </c>
      <c r="P89" s="27">
        <f>+VLOOKUP(O89,scoring!$U$10:$AA$105,7,FALSE)-72*3</f>
        <v>111</v>
      </c>
      <c r="Q89" s="27" t="s">
        <v>26</v>
      </c>
      <c r="R89" s="27">
        <f>+VLOOKUP(Q89,scoring!$U$10:$AA$105,7,FALSE)-72*3</f>
        <v>111</v>
      </c>
      <c r="S89" s="27" t="s">
        <v>26</v>
      </c>
      <c r="T89" s="27">
        <f>+VLOOKUP(S89,scoring!$U$10:$AA$105,7,FALSE)-72*3</f>
        <v>111</v>
      </c>
      <c r="U89" s="27">
        <f t="shared" si="2"/>
        <v>198</v>
      </c>
    </row>
    <row r="90" spans="1:21" ht="16" x14ac:dyDescent="0.2">
      <c r="B90" s="31" t="s">
        <v>149</v>
      </c>
      <c r="C90" s="27" t="s">
        <v>150</v>
      </c>
      <c r="D90" s="27" t="s">
        <v>151</v>
      </c>
      <c r="E90" s="27" t="s">
        <v>47</v>
      </c>
      <c r="F90" s="27">
        <f>+VLOOKUP(E90,scoring!$U$10:$AA$105,7,FALSE)-72*3</f>
        <v>65</v>
      </c>
      <c r="G90" s="27" t="s">
        <v>47</v>
      </c>
      <c r="H90" s="27">
        <f>+VLOOKUP(G90,scoring!$U$10:$AA$105,7,FALSE)-72*3</f>
        <v>65</v>
      </c>
      <c r="I90" s="27" t="s">
        <v>14</v>
      </c>
      <c r="J90" s="27">
        <f>+VLOOKUP(I90,scoring!$U$10:$AA$105,7,FALSE)-72*3</f>
        <v>72</v>
      </c>
      <c r="K90" s="27" t="s">
        <v>14</v>
      </c>
      <c r="L90" s="27">
        <f>+VLOOKUP(K90,scoring!$U$10:$AA$105,7,FALSE)-72*3</f>
        <v>72</v>
      </c>
      <c r="M90" s="27" t="s">
        <v>165</v>
      </c>
      <c r="N90" s="27">
        <f>+VLOOKUP(M90,scoring!$U$10:$AA$105,7,FALSE)-72*3</f>
        <v>99</v>
      </c>
      <c r="O90" s="27" t="s">
        <v>165</v>
      </c>
      <c r="P90" s="27">
        <f>+VLOOKUP(O90,scoring!$U$10:$AA$105,7,FALSE)-72*3</f>
        <v>99</v>
      </c>
      <c r="Q90" s="27" t="s">
        <v>26</v>
      </c>
      <c r="R90" s="27">
        <f>+VLOOKUP(Q90,scoring!$U$10:$AA$105,7,FALSE)-72*3</f>
        <v>111</v>
      </c>
      <c r="S90" s="27" t="s">
        <v>26</v>
      </c>
      <c r="T90" s="27">
        <f>+VLOOKUP(S90,scoring!$U$10:$AA$105,7,FALSE)-72*3</f>
        <v>111</v>
      </c>
      <c r="U90" s="27">
        <f t="shared" si="2"/>
        <v>202</v>
      </c>
    </row>
  </sheetData>
  <sortState xmlns:xlrd2="http://schemas.microsoft.com/office/spreadsheetml/2017/richdata2" ref="A46:U84">
    <sortCondition ref="U46:U8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709B-96F2-F841-91F6-BA7EF99B9E82}">
  <dimension ref="A1:U86"/>
  <sheetViews>
    <sheetView tabSelected="1" zoomScale="150" zoomScaleNormal="150" workbookViewId="0">
      <selection activeCell="C43" sqref="C43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5" width="18.5" bestFit="1" customWidth="1"/>
    <col min="6" max="6" width="6.1640625" customWidth="1"/>
    <col min="7" max="7" width="18.5" bestFit="1" customWidth="1"/>
    <col min="8" max="8" width="4.83203125" customWidth="1"/>
    <col min="9" max="9" width="18.5" bestFit="1" customWidth="1"/>
    <col min="10" max="10" width="4.83203125" customWidth="1"/>
    <col min="11" max="11" width="19.1640625" bestFit="1" customWidth="1"/>
    <col min="12" max="12" width="4.83203125" customWidth="1"/>
    <col min="13" max="13" width="20.1640625" bestFit="1" customWidth="1"/>
    <col min="14" max="14" width="4.83203125" customWidth="1"/>
    <col min="15" max="15" width="17.6640625" bestFit="1" customWidth="1"/>
    <col min="16" max="16" width="4.83203125" customWidth="1"/>
    <col min="17" max="17" width="18.6640625" bestFit="1" customWidth="1"/>
    <col min="18" max="18" width="4.83203125" customWidth="1"/>
    <col min="19" max="19" width="18.6640625" bestFit="1" customWidth="1"/>
    <col min="20" max="20" width="4.83203125" customWidth="1"/>
    <col min="21" max="21" width="13" customWidth="1"/>
  </cols>
  <sheetData>
    <row r="1" spans="1:21" x14ac:dyDescent="0.2">
      <c r="A1" s="26" t="s">
        <v>258</v>
      </c>
    </row>
    <row r="2" spans="1:21" ht="16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5</v>
      </c>
      <c r="H2" s="2"/>
      <c r="I2" s="2" t="s">
        <v>6</v>
      </c>
      <c r="J2" s="2"/>
      <c r="K2" s="2" t="s">
        <v>7</v>
      </c>
      <c r="L2" s="2"/>
      <c r="M2" s="2" t="s">
        <v>8</v>
      </c>
      <c r="N2" s="2"/>
      <c r="O2" s="2" t="s">
        <v>9</v>
      </c>
      <c r="P2" s="2"/>
      <c r="Q2" s="2" t="s">
        <v>10</v>
      </c>
      <c r="R2" s="2"/>
      <c r="S2" s="2" t="s">
        <v>11</v>
      </c>
      <c r="T2" s="2"/>
      <c r="U2" s="2" t="s">
        <v>183</v>
      </c>
    </row>
    <row r="3" spans="1:21" ht="16" x14ac:dyDescent="0.2">
      <c r="A3" s="32">
        <v>6</v>
      </c>
      <c r="B3" s="33" t="s">
        <v>111</v>
      </c>
      <c r="C3" s="33" t="s">
        <v>84</v>
      </c>
      <c r="D3" s="33" t="s">
        <v>85</v>
      </c>
      <c r="E3" s="33" t="s">
        <v>32</v>
      </c>
      <c r="F3" s="33">
        <f>+VLOOKUP(E3,scoring!$U$10:$AA$105,6,FALSE)-72</f>
        <v>1</v>
      </c>
      <c r="G3" s="33" t="s">
        <v>32</v>
      </c>
      <c r="H3" s="33">
        <f>+VLOOKUP(G3,scoring!$U$10:$AA$105,6,FALSE)-72</f>
        <v>1</v>
      </c>
      <c r="I3" s="33" t="s">
        <v>74</v>
      </c>
      <c r="J3" s="33">
        <f>+VLOOKUP(I3,scoring!$U$10:$AA$105,6,FALSE)-72</f>
        <v>-2</v>
      </c>
      <c r="K3" s="33" t="s">
        <v>74</v>
      </c>
      <c r="L3" s="33">
        <f>+VLOOKUP(K3,scoring!$U$10:$AA$105,6,FALSE)-72</f>
        <v>-2</v>
      </c>
      <c r="M3" s="33" t="s">
        <v>37</v>
      </c>
      <c r="N3" s="33">
        <f>+VLOOKUP(M3,scoring!$U$10:$AA$105,6,FALSE)-72</f>
        <v>-6</v>
      </c>
      <c r="O3" s="33" t="s">
        <v>37</v>
      </c>
      <c r="P3" s="33">
        <f>+VLOOKUP(O3,scoring!$U$10:$AA$105,6,FALSE)-72</f>
        <v>-6</v>
      </c>
      <c r="Q3" s="33" t="s">
        <v>50</v>
      </c>
      <c r="R3" s="33">
        <f>+VLOOKUP(Q3,scoring!$U$10:$AA$105,6,FALSE)-72</f>
        <v>0</v>
      </c>
      <c r="S3" s="33" t="s">
        <v>50</v>
      </c>
      <c r="T3" s="33">
        <f>+VLOOKUP(S3,scoring!$U$10:$AA$105,6,FALSE)-72</f>
        <v>0</v>
      </c>
      <c r="U3" s="33">
        <f>IFERROR(SMALL(E3:T3,1)+SMALL(E3:T3,2)+SMALL(E3:T3,3),IFERROR(SMALL(E3:T3,1)+SMALL(E3:T3,2),IFERROR(SMALL(E3:T3,1),"-")))</f>
        <v>-14</v>
      </c>
    </row>
    <row r="4" spans="1:21" ht="16" x14ac:dyDescent="0.2">
      <c r="A4" s="32">
        <v>11</v>
      </c>
      <c r="B4" s="33" t="s">
        <v>247</v>
      </c>
      <c r="C4" s="34" t="s">
        <v>121</v>
      </c>
      <c r="D4" s="33" t="s">
        <v>100</v>
      </c>
      <c r="E4" s="33" t="s">
        <v>69</v>
      </c>
      <c r="F4" s="33">
        <f>+VLOOKUP(E4,scoring!$U$10:$AA$105,6,FALSE)-72</f>
        <v>-3</v>
      </c>
      <c r="G4" s="33" t="s">
        <v>47</v>
      </c>
      <c r="H4" s="33">
        <f>+VLOOKUP(G4,scoring!$U$10:$AA$105,6,FALSE)-72</f>
        <v>3</v>
      </c>
      <c r="I4" s="33" t="s">
        <v>20</v>
      </c>
      <c r="J4" s="33">
        <f>+VLOOKUP(I4,scoring!$U$10:$AA$105,6,FALSE)-72</f>
        <v>13</v>
      </c>
      <c r="K4" s="33" t="s">
        <v>74</v>
      </c>
      <c r="L4" s="33">
        <f>+VLOOKUP(K4,scoring!$U$10:$AA$105,6,FALSE)-72</f>
        <v>-2</v>
      </c>
      <c r="M4" s="33" t="s">
        <v>29</v>
      </c>
      <c r="N4" s="33">
        <f>+VLOOKUP(M4,scoring!$U$10:$AA$105,6,FALSE)-72</f>
        <v>-3</v>
      </c>
      <c r="O4" s="33" t="s">
        <v>51</v>
      </c>
      <c r="P4" s="33">
        <f>+VLOOKUP(O4,scoring!$U$10:$AA$105,6,FALSE)-72</f>
        <v>-6</v>
      </c>
      <c r="Q4" s="33" t="s">
        <v>172</v>
      </c>
      <c r="R4" s="33">
        <f>+VLOOKUP(Q4,scoring!$U$10:$AA$105,6,FALSE)-72</f>
        <v>13</v>
      </c>
      <c r="S4" s="33" t="s">
        <v>173</v>
      </c>
      <c r="T4" s="33">
        <f>+VLOOKUP(S4,scoring!$U$10:$AA$105,6,FALSE)-72</f>
        <v>-4</v>
      </c>
      <c r="U4" s="33">
        <f>IFERROR(SMALL(E4:T4,1)+SMALL(E4:T4,2)+SMALL(E4:T4,3),IFERROR(SMALL(E4:T4,1)+SMALL(E4:T4,2),IFERROR(SMALL(E4:T4,1),"-")))</f>
        <v>-13</v>
      </c>
    </row>
    <row r="5" spans="1:21" ht="16" x14ac:dyDescent="0.2">
      <c r="A5" s="32">
        <v>33</v>
      </c>
      <c r="B5" s="33" t="s">
        <v>159</v>
      </c>
      <c r="C5" s="33" t="s">
        <v>154</v>
      </c>
      <c r="D5" s="33" t="s">
        <v>155</v>
      </c>
      <c r="E5" s="33" t="s">
        <v>15</v>
      </c>
      <c r="F5" s="33">
        <f>+VLOOKUP(E5,scoring!$U$10:$AA$105,6,FALSE)-72</f>
        <v>0</v>
      </c>
      <c r="G5" s="33" t="s">
        <v>15</v>
      </c>
      <c r="H5" s="33">
        <f>+VLOOKUP(G5,scoring!$U$10:$AA$105,6,FALSE)-72</f>
        <v>0</v>
      </c>
      <c r="I5" s="33" t="s">
        <v>51</v>
      </c>
      <c r="J5" s="33">
        <f>+VLOOKUP(I5,scoring!$U$10:$AA$105,6,FALSE)-72</f>
        <v>-6</v>
      </c>
      <c r="K5" s="33" t="s">
        <v>29</v>
      </c>
      <c r="L5" s="33">
        <f>+VLOOKUP(K5,scoring!$U$10:$AA$105,6,FALSE)-72</f>
        <v>-3</v>
      </c>
      <c r="M5" s="33" t="s">
        <v>33</v>
      </c>
      <c r="N5" s="33">
        <f>+VLOOKUP(M5,scoring!$U$10:$AA$105,6,FALSE)-72</f>
        <v>-2</v>
      </c>
      <c r="O5" s="33" t="s">
        <v>167</v>
      </c>
      <c r="P5" s="33">
        <f>+VLOOKUP(O5,scoring!$U$10:$AA$105,6,FALSE)-72</f>
        <v>3</v>
      </c>
      <c r="Q5" s="33" t="s">
        <v>88</v>
      </c>
      <c r="R5" s="33">
        <f>+VLOOKUP(Q5,scoring!$U$10:$AA$105,6,FALSE)-72</f>
        <v>-4</v>
      </c>
      <c r="S5" s="33" t="s">
        <v>22</v>
      </c>
      <c r="T5" s="33">
        <f>+VLOOKUP(S5,scoring!$U$10:$AA$105,6,FALSE)-72</f>
        <v>13</v>
      </c>
      <c r="U5" s="33">
        <f>IFERROR(SMALL(E5:T5,1)+SMALL(E5:T5,2)+SMALL(E5:T5,3),IFERROR(SMALL(E5:T5,1)+SMALL(E5:T5,2),IFERROR(SMALL(E5:T5,1),"-")))</f>
        <v>-13</v>
      </c>
    </row>
    <row r="6" spans="1:21" ht="16" x14ac:dyDescent="0.2">
      <c r="A6" s="32">
        <v>31</v>
      </c>
      <c r="B6" s="33" t="s">
        <v>91</v>
      </c>
      <c r="C6" s="33" t="s">
        <v>92</v>
      </c>
      <c r="D6" s="33" t="s">
        <v>93</v>
      </c>
      <c r="E6" s="33" t="s">
        <v>34</v>
      </c>
      <c r="F6" s="33">
        <f>+VLOOKUP(E6,scoring!$U$10:$AA$105,6,FALSE)-72</f>
        <v>0</v>
      </c>
      <c r="G6" s="33" t="s">
        <v>27</v>
      </c>
      <c r="H6" s="33">
        <f>+VLOOKUP(G6,scoring!$U$10:$AA$105,6,FALSE)-72</f>
        <v>-1</v>
      </c>
      <c r="I6" s="33" t="s">
        <v>20</v>
      </c>
      <c r="J6" s="33">
        <f>+VLOOKUP(I6,scoring!$U$10:$AA$105,6,FALSE)-72</f>
        <v>13</v>
      </c>
      <c r="K6" s="33" t="s">
        <v>74</v>
      </c>
      <c r="L6" s="33">
        <f>+VLOOKUP(K6,scoring!$U$10:$AA$105,6,FALSE)-72</f>
        <v>-2</v>
      </c>
      <c r="M6" s="33" t="s">
        <v>37</v>
      </c>
      <c r="N6" s="33">
        <f>+VLOOKUP(M6,scoring!$U$10:$AA$105,6,FALSE)-72</f>
        <v>-6</v>
      </c>
      <c r="O6" s="33" t="s">
        <v>179</v>
      </c>
      <c r="P6" s="33">
        <f>+VLOOKUP(O6,scoring!$U$10:$AA$105,6,FALSE)-72</f>
        <v>-4</v>
      </c>
      <c r="Q6" s="33" t="s">
        <v>26</v>
      </c>
      <c r="R6" s="33">
        <f>+VLOOKUP(Q6,scoring!$U$10:$AA$105,6,FALSE)-72</f>
        <v>14</v>
      </c>
      <c r="S6" s="33" t="s">
        <v>26</v>
      </c>
      <c r="T6" s="33">
        <f>+VLOOKUP(S6,scoring!$U$10:$AA$105,6,FALSE)-72</f>
        <v>14</v>
      </c>
      <c r="U6" s="33">
        <f>IFERROR(SMALL(E6:T6,1)+SMALL(E6:T6,2)+SMALL(E6:T6,3),IFERROR(SMALL(E6:T6,1)+SMALL(E6:T6,2),IFERROR(SMALL(E6:T6,1),"-")))</f>
        <v>-12</v>
      </c>
    </row>
    <row r="7" spans="1:21" ht="16" x14ac:dyDescent="0.2">
      <c r="A7" s="32">
        <v>3</v>
      </c>
      <c r="B7" s="33" t="s">
        <v>109</v>
      </c>
      <c r="C7" s="33" t="s">
        <v>107</v>
      </c>
      <c r="D7" s="33" t="s">
        <v>108</v>
      </c>
      <c r="E7" s="33" t="s">
        <v>34</v>
      </c>
      <c r="F7" s="33">
        <f>+VLOOKUP(E7,scoring!$U$10:$AA$105,6,FALSE)-72</f>
        <v>0</v>
      </c>
      <c r="G7" s="33" t="s">
        <v>37</v>
      </c>
      <c r="H7" s="33">
        <f>+VLOOKUP(G7,scoring!$U$10:$AA$105,6,FALSE)-72</f>
        <v>-6</v>
      </c>
      <c r="I7" s="33" t="s">
        <v>37</v>
      </c>
      <c r="J7" s="33">
        <f>+VLOOKUP(I7,scoring!$U$10:$AA$105,6,FALSE)-72</f>
        <v>-6</v>
      </c>
      <c r="K7" s="33" t="s">
        <v>20</v>
      </c>
      <c r="L7" s="33">
        <f>+VLOOKUP(K7,scoring!$U$10:$AA$105,6,FALSE)-72</f>
        <v>13</v>
      </c>
      <c r="M7" s="33" t="s">
        <v>165</v>
      </c>
      <c r="N7" s="33">
        <f>+VLOOKUP(M7,scoring!$U$10:$AA$105,6,FALSE)-72</f>
        <v>13</v>
      </c>
      <c r="O7" s="33" t="s">
        <v>21</v>
      </c>
      <c r="P7" s="33">
        <f>+VLOOKUP(O7,scoring!$U$10:$AA$105,6,FALSE)-72</f>
        <v>13</v>
      </c>
      <c r="Q7" s="33" t="s">
        <v>64</v>
      </c>
      <c r="R7" s="33">
        <f>+VLOOKUP(Q7,scoring!$U$10:$AA$105,6,FALSE)-72</f>
        <v>13</v>
      </c>
      <c r="S7" s="33" t="s">
        <v>174</v>
      </c>
      <c r="T7" s="33">
        <f>+VLOOKUP(S7,scoring!$U$10:$AA$105,6,FALSE)-72</f>
        <v>13</v>
      </c>
      <c r="U7" s="33">
        <f>IFERROR(SMALL(E7:T7,1)+SMALL(E7:T7,2)+SMALL(E7:T7,3),IFERROR(SMALL(E7:T7,1)+SMALL(E7:T7,2),IFERROR(SMALL(E7:T7,1),"-")))</f>
        <v>-12</v>
      </c>
    </row>
    <row r="8" spans="1:21" ht="16" x14ac:dyDescent="0.2">
      <c r="A8" s="32">
        <v>4</v>
      </c>
      <c r="B8" s="33" t="s">
        <v>110</v>
      </c>
      <c r="C8" s="33" t="s">
        <v>77</v>
      </c>
      <c r="D8" s="33" t="s">
        <v>78</v>
      </c>
      <c r="E8" s="33" t="s">
        <v>15</v>
      </c>
      <c r="F8" s="33">
        <f>+VLOOKUP(E8,scoring!$U$10:$AA$105,6,FALSE)-72</f>
        <v>0</v>
      </c>
      <c r="G8" s="33" t="s">
        <v>33</v>
      </c>
      <c r="H8" s="33">
        <f>+VLOOKUP(G8,scoring!$U$10:$AA$105,6,FALSE)-72</f>
        <v>-2</v>
      </c>
      <c r="I8" s="33" t="s">
        <v>37</v>
      </c>
      <c r="J8" s="33">
        <f>+VLOOKUP(I8,scoring!$U$10:$AA$105,6,FALSE)-72</f>
        <v>-6</v>
      </c>
      <c r="K8" s="33" t="s">
        <v>41</v>
      </c>
      <c r="L8" s="33">
        <f>+VLOOKUP(K8,scoring!$U$10:$AA$105,6,FALSE)-72</f>
        <v>13</v>
      </c>
      <c r="M8" s="33" t="s">
        <v>42</v>
      </c>
      <c r="N8" s="33">
        <f>+VLOOKUP(M8,scoring!$U$10:$AA$105,6,FALSE)-72</f>
        <v>-1</v>
      </c>
      <c r="O8" s="33" t="s">
        <v>42</v>
      </c>
      <c r="P8" s="33">
        <f>+VLOOKUP(O8,scoring!$U$10:$AA$105,6,FALSE)-72</f>
        <v>-1</v>
      </c>
      <c r="Q8" s="33" t="s">
        <v>38</v>
      </c>
      <c r="R8" s="33">
        <f>+VLOOKUP(Q8,scoring!$U$10:$AA$105,6,FALSE)-72</f>
        <v>3</v>
      </c>
      <c r="S8" s="33" t="s">
        <v>171</v>
      </c>
      <c r="T8" s="33">
        <f>+VLOOKUP(S8,scoring!$U$10:$AA$105,6,FALSE)-72</f>
        <v>13</v>
      </c>
      <c r="U8" s="33">
        <f>IFERROR(SMALL(E8:T8,1)+SMALL(E8:T8,2)+SMALL(E8:T8,3),IFERROR(SMALL(E8:T8,1)+SMALL(E8:T8,2),IFERROR(SMALL(E8:T8,1),"-")))</f>
        <v>-9</v>
      </c>
    </row>
    <row r="9" spans="1:21" ht="16" x14ac:dyDescent="0.2">
      <c r="A9" s="32">
        <v>26</v>
      </c>
      <c r="B9" s="33" t="s">
        <v>145</v>
      </c>
      <c r="C9" s="33" t="s">
        <v>67</v>
      </c>
      <c r="D9" s="33" t="s">
        <v>68</v>
      </c>
      <c r="E9" s="33" t="s">
        <v>69</v>
      </c>
      <c r="F9" s="33">
        <f>+VLOOKUP(E9,scoring!$U$10:$AA$105,6,FALSE)-72</f>
        <v>-3</v>
      </c>
      <c r="G9" s="33" t="s">
        <v>15</v>
      </c>
      <c r="H9" s="33">
        <f>+VLOOKUP(G9,scoring!$U$10:$AA$105,6,FALSE)-72</f>
        <v>0</v>
      </c>
      <c r="I9" s="33" t="s">
        <v>37</v>
      </c>
      <c r="J9" s="33">
        <f>+VLOOKUP(I9,scoring!$U$10:$AA$105,6,FALSE)-72</f>
        <v>-6</v>
      </c>
      <c r="K9" s="33" t="s">
        <v>20</v>
      </c>
      <c r="L9" s="33">
        <f>+VLOOKUP(K9,scoring!$U$10:$AA$105,6,FALSE)-72</f>
        <v>13</v>
      </c>
      <c r="M9" s="33" t="s">
        <v>23</v>
      </c>
      <c r="N9" s="33">
        <f>+VLOOKUP(M9,scoring!$U$10:$AA$105,6,FALSE)-72</f>
        <v>13</v>
      </c>
      <c r="O9" s="33" t="s">
        <v>26</v>
      </c>
      <c r="P9" s="33">
        <f>+VLOOKUP(O9,scoring!$U$10:$AA$105,6,FALSE)-72</f>
        <v>14</v>
      </c>
      <c r="Q9" s="33" t="s">
        <v>26</v>
      </c>
      <c r="R9" s="33">
        <f>+VLOOKUP(Q9,scoring!$U$10:$AA$105,6,FALSE)-72</f>
        <v>14</v>
      </c>
      <c r="S9" s="33" t="s">
        <v>26</v>
      </c>
      <c r="T9" s="33">
        <f>+VLOOKUP(S9,scoring!$U$10:$AA$105,6,FALSE)-72</f>
        <v>14</v>
      </c>
      <c r="U9" s="33">
        <f>IFERROR(SMALL(E9:T9,1)+SMALL(E9:T9,2)+SMALL(E9:T9,3),IFERROR(SMALL(E9:T9,1)+SMALL(E9:T9,2),IFERROR(SMALL(E9:T9,1),"-")))</f>
        <v>-9</v>
      </c>
    </row>
    <row r="10" spans="1:21" ht="16" x14ac:dyDescent="0.2">
      <c r="A10" s="32">
        <v>19</v>
      </c>
      <c r="B10" s="33" t="s">
        <v>133</v>
      </c>
      <c r="C10" s="33" t="s">
        <v>134</v>
      </c>
      <c r="D10" s="33" t="s">
        <v>135</v>
      </c>
      <c r="E10" s="33" t="s">
        <v>43</v>
      </c>
      <c r="F10" s="33">
        <f>+VLOOKUP(E10,scoring!$U$10:$AA$105,6,FALSE)-72</f>
        <v>1</v>
      </c>
      <c r="G10" s="33" t="s">
        <v>75</v>
      </c>
      <c r="H10" s="33">
        <f>+VLOOKUP(G10,scoring!$U$10:$AA$105,6,FALSE)-72</f>
        <v>2</v>
      </c>
      <c r="I10" s="33" t="s">
        <v>75</v>
      </c>
      <c r="J10" s="33">
        <f>+VLOOKUP(I10,scoring!$U$10:$AA$105,6,FALSE)-72</f>
        <v>2</v>
      </c>
      <c r="K10" s="33" t="s">
        <v>42</v>
      </c>
      <c r="L10" s="33">
        <f>+VLOOKUP(K10,scoring!$U$10:$AA$105,6,FALSE)-72</f>
        <v>-1</v>
      </c>
      <c r="M10" s="33" t="s">
        <v>42</v>
      </c>
      <c r="N10" s="33">
        <f>+VLOOKUP(M10,scoring!$U$10:$AA$105,6,FALSE)-72</f>
        <v>-1</v>
      </c>
      <c r="O10" s="33" t="s">
        <v>51</v>
      </c>
      <c r="P10" s="33">
        <f>+VLOOKUP(O10,scoring!$U$10:$AA$105,6,FALSE)-72</f>
        <v>-6</v>
      </c>
      <c r="Q10" s="33" t="s">
        <v>26</v>
      </c>
      <c r="R10" s="33">
        <f>+VLOOKUP(Q10,scoring!$U$10:$AA$105,6,FALSE)-72</f>
        <v>14</v>
      </c>
      <c r="S10" s="33" t="s">
        <v>26</v>
      </c>
      <c r="T10" s="33">
        <f>+VLOOKUP(S10,scoring!$U$10:$AA$105,6,FALSE)-72</f>
        <v>14</v>
      </c>
      <c r="U10" s="33">
        <f>IFERROR(SMALL(E10:T10,1)+SMALL(E10:T10,2)+SMALL(E10:T10,3),IFERROR(SMALL(E10:T10,1)+SMALL(E10:T10,2),IFERROR(SMALL(E10:T10,1),"-")))</f>
        <v>-8</v>
      </c>
    </row>
    <row r="11" spans="1:21" ht="16" x14ac:dyDescent="0.2">
      <c r="A11" s="32">
        <v>22</v>
      </c>
      <c r="B11" s="33" t="s">
        <v>138</v>
      </c>
      <c r="C11" s="33" t="s">
        <v>98</v>
      </c>
      <c r="D11" s="33" t="s">
        <v>99</v>
      </c>
      <c r="E11" s="33" t="s">
        <v>34</v>
      </c>
      <c r="F11" s="33">
        <f>+VLOOKUP(E11,scoring!$U$10:$AA$105,6,FALSE)-72</f>
        <v>0</v>
      </c>
      <c r="G11" s="33" t="s">
        <v>37</v>
      </c>
      <c r="H11" s="33">
        <f>+VLOOKUP(G11,scoring!$U$10:$AA$105,6,FALSE)-72</f>
        <v>-6</v>
      </c>
      <c r="I11" s="33" t="s">
        <v>54</v>
      </c>
      <c r="J11" s="33">
        <f>+VLOOKUP(I11,scoring!$U$10:$AA$105,6,FALSE)-72</f>
        <v>9</v>
      </c>
      <c r="K11" s="33" t="s">
        <v>44</v>
      </c>
      <c r="L11" s="33">
        <f>+VLOOKUP(K11,scoring!$U$10:$AA$105,6,FALSE)-72</f>
        <v>-1</v>
      </c>
      <c r="M11" s="33" t="s">
        <v>75</v>
      </c>
      <c r="N11" s="33">
        <f>+VLOOKUP(M11,scoring!$U$10:$AA$105,6,FALSE)-72</f>
        <v>2</v>
      </c>
      <c r="O11" s="33" t="s">
        <v>38</v>
      </c>
      <c r="P11" s="33">
        <f>+VLOOKUP(O11,scoring!$U$10:$AA$105,6,FALSE)-72</f>
        <v>3</v>
      </c>
      <c r="Q11" s="33" t="s">
        <v>22</v>
      </c>
      <c r="R11" s="33">
        <f>+VLOOKUP(Q11,scoring!$U$10:$AA$105,6,FALSE)-72</f>
        <v>13</v>
      </c>
      <c r="S11" s="33" t="s">
        <v>50</v>
      </c>
      <c r="T11" s="33">
        <f>+VLOOKUP(S11,scoring!$U$10:$AA$105,6,FALSE)-72</f>
        <v>0</v>
      </c>
      <c r="U11" s="33">
        <f>IFERROR(SMALL(E11:T11,1)+SMALL(E11:T11,2)+SMALL(E11:T11,3),IFERROR(SMALL(E11:T11,1)+SMALL(E11:T11,2),IFERROR(SMALL(E11:T11,1),"-")))</f>
        <v>-7</v>
      </c>
    </row>
    <row r="12" spans="1:21" ht="16" x14ac:dyDescent="0.2">
      <c r="A12" s="32">
        <v>1</v>
      </c>
      <c r="B12" s="33" t="s">
        <v>104</v>
      </c>
      <c r="C12" s="33" t="s">
        <v>79</v>
      </c>
      <c r="D12" s="33" t="s">
        <v>105</v>
      </c>
      <c r="E12" s="33" t="s">
        <v>15</v>
      </c>
      <c r="F12" s="33">
        <f>+VLOOKUP(E12,scoring!$U$10:$AA$105,6,FALSE)-72</f>
        <v>0</v>
      </c>
      <c r="G12" s="33" t="s">
        <v>20</v>
      </c>
      <c r="H12" s="33">
        <f>+VLOOKUP(G12,scoring!$U$10:$AA$105,6,FALSE)-72</f>
        <v>13</v>
      </c>
      <c r="I12" s="33" t="s">
        <v>58</v>
      </c>
      <c r="J12" s="33">
        <f>+VLOOKUP(I12,scoring!$U$10:$AA$105,6,FALSE)-72</f>
        <v>-3</v>
      </c>
      <c r="K12" s="33" t="s">
        <v>44</v>
      </c>
      <c r="L12" s="33">
        <f>+VLOOKUP(K12,scoring!$U$10:$AA$105,6,FALSE)-72</f>
        <v>-1</v>
      </c>
      <c r="M12" s="33" t="s">
        <v>30</v>
      </c>
      <c r="N12" s="33">
        <f>+VLOOKUP(M12,scoring!$U$10:$AA$105,6,FALSE)-72</f>
        <v>13</v>
      </c>
      <c r="O12" s="33" t="s">
        <v>30</v>
      </c>
      <c r="P12" s="33">
        <f>+VLOOKUP(O12,scoring!$U$10:$AA$105,6,FALSE)-72</f>
        <v>13</v>
      </c>
      <c r="Q12" s="33" t="s">
        <v>74</v>
      </c>
      <c r="R12" s="33">
        <f>+VLOOKUP(Q12,scoring!$U$10:$AA$105,6,FALSE)-72</f>
        <v>-2</v>
      </c>
      <c r="S12" s="33" t="s">
        <v>24</v>
      </c>
      <c r="T12" s="33">
        <f>+VLOOKUP(S12,scoring!$U$10:$AA$105,6,FALSE)-72</f>
        <v>13</v>
      </c>
      <c r="U12" s="35">
        <f>IFERROR(SMALL(E12:T12,1)+SMALL(E12:T12,2)+SMALL(E12:T12,3),IFERROR(SMALL(E12:T12,1)+SMALL(E12:T12,2),IFERROR(SMALL(E12:T12,1),"-")))</f>
        <v>-6</v>
      </c>
    </row>
    <row r="13" spans="1:21" ht="16" x14ac:dyDescent="0.2">
      <c r="A13" s="32">
        <v>17</v>
      </c>
      <c r="B13" s="33" t="s">
        <v>128</v>
      </c>
      <c r="C13" s="33" t="s">
        <v>129</v>
      </c>
      <c r="D13" s="33" t="s">
        <v>130</v>
      </c>
      <c r="E13" s="33" t="s">
        <v>15</v>
      </c>
      <c r="F13" s="33">
        <f>+VLOOKUP(E13,scoring!$U$10:$AA$105,6,FALSE)-72</f>
        <v>0</v>
      </c>
      <c r="G13" s="33" t="s">
        <v>54</v>
      </c>
      <c r="H13" s="33">
        <f>+VLOOKUP(G13,scoring!$U$10:$AA$105,6,FALSE)-72</f>
        <v>9</v>
      </c>
      <c r="I13" s="33" t="s">
        <v>26</v>
      </c>
      <c r="J13" s="33">
        <f>+VLOOKUP(I13,scoring!$U$10:$AA$105,6,FALSE)-72</f>
        <v>14</v>
      </c>
      <c r="K13" s="33" t="s">
        <v>41</v>
      </c>
      <c r="L13" s="33">
        <f>+VLOOKUP(K13,scoring!$U$10:$AA$105,6,FALSE)-72</f>
        <v>13</v>
      </c>
      <c r="M13" s="33" t="s">
        <v>34</v>
      </c>
      <c r="N13" s="33">
        <f>+VLOOKUP(M13,scoring!$U$10:$AA$105,6,FALSE)-72</f>
        <v>0</v>
      </c>
      <c r="O13" s="33" t="s">
        <v>37</v>
      </c>
      <c r="P13" s="33">
        <f>+VLOOKUP(O13,scoring!$U$10:$AA$105,6,FALSE)-72</f>
        <v>-6</v>
      </c>
      <c r="Q13" s="33" t="s">
        <v>167</v>
      </c>
      <c r="R13" s="33">
        <f>+VLOOKUP(Q13,scoring!$U$10:$AA$105,6,FALSE)-72</f>
        <v>3</v>
      </c>
      <c r="S13" s="33" t="s">
        <v>26</v>
      </c>
      <c r="T13" s="33">
        <f>+VLOOKUP(S13,scoring!$U$10:$AA$105,6,FALSE)-72</f>
        <v>14</v>
      </c>
      <c r="U13" s="33">
        <f>IFERROR(SMALL(E13:T13,1)+SMALL(E13:T13,2)+SMALL(E13:T13,3),IFERROR(SMALL(E13:T13,1)+SMALL(E13:T13,2),IFERROR(SMALL(E13:T13,1),"-")))</f>
        <v>-6</v>
      </c>
    </row>
    <row r="14" spans="1:21" ht="16" x14ac:dyDescent="0.2">
      <c r="A14" s="32">
        <v>21</v>
      </c>
      <c r="B14" s="33" t="s">
        <v>137</v>
      </c>
      <c r="C14" s="33" t="s">
        <v>35</v>
      </c>
      <c r="D14" s="33" t="s">
        <v>36</v>
      </c>
      <c r="E14" s="33" t="s">
        <v>15</v>
      </c>
      <c r="F14" s="33">
        <f>+VLOOKUP(E14,scoring!$U$10:$AA$105,6,FALSE)-72</f>
        <v>0</v>
      </c>
      <c r="G14" s="33" t="s">
        <v>34</v>
      </c>
      <c r="H14" s="33">
        <f>+VLOOKUP(G14,scoring!$U$10:$AA$105,6,FALSE)-72</f>
        <v>0</v>
      </c>
      <c r="I14" s="33" t="s">
        <v>54</v>
      </c>
      <c r="J14" s="33">
        <f>+VLOOKUP(I14,scoring!$U$10:$AA$105,6,FALSE)-72</f>
        <v>9</v>
      </c>
      <c r="K14" s="33" t="s">
        <v>75</v>
      </c>
      <c r="L14" s="33">
        <f>+VLOOKUP(K14,scoring!$U$10:$AA$105,6,FALSE)-72</f>
        <v>2</v>
      </c>
      <c r="M14" s="33" t="s">
        <v>23</v>
      </c>
      <c r="N14" s="33">
        <f>+VLOOKUP(M14,scoring!$U$10:$AA$105,6,FALSE)-72</f>
        <v>13</v>
      </c>
      <c r="O14" s="33" t="s">
        <v>51</v>
      </c>
      <c r="P14" s="33">
        <f>+VLOOKUP(O14,scoring!$U$10:$AA$105,6,FALSE)-72</f>
        <v>-6</v>
      </c>
      <c r="Q14" s="33" t="s">
        <v>64</v>
      </c>
      <c r="R14" s="33">
        <f>+VLOOKUP(Q14,scoring!$U$10:$AA$105,6,FALSE)-72</f>
        <v>13</v>
      </c>
      <c r="S14" s="33" t="s">
        <v>64</v>
      </c>
      <c r="T14" s="33">
        <f>+VLOOKUP(S14,scoring!$U$10:$AA$105,6,FALSE)-72</f>
        <v>13</v>
      </c>
      <c r="U14" s="33">
        <f>IFERROR(SMALL(E14:T14,1)+SMALL(E14:T14,2)+SMALL(E14:T14,3),IFERROR(SMALL(E14:T14,1)+SMALL(E14:T14,2),IFERROR(SMALL(E14:T14,1),"-")))</f>
        <v>-6</v>
      </c>
    </row>
    <row r="15" spans="1:21" ht="16" x14ac:dyDescent="0.2">
      <c r="A15" s="32">
        <v>34</v>
      </c>
      <c r="B15" s="33" t="s">
        <v>162</v>
      </c>
      <c r="C15" s="33" t="s">
        <v>156</v>
      </c>
      <c r="D15" s="33" t="s">
        <v>99</v>
      </c>
      <c r="E15" s="33" t="s">
        <v>69</v>
      </c>
      <c r="F15" s="33">
        <f>+VLOOKUP(E15,scoring!$U$10:$AA$105,6,FALSE)-72</f>
        <v>-3</v>
      </c>
      <c r="G15" s="33" t="s">
        <v>75</v>
      </c>
      <c r="H15" s="33">
        <f>+VLOOKUP(G15,scoring!$U$10:$AA$105,6,FALSE)-72</f>
        <v>2</v>
      </c>
      <c r="I15" s="33" t="s">
        <v>50</v>
      </c>
      <c r="J15" s="33">
        <f>+VLOOKUP(I15,scoring!$U$10:$AA$105,6,FALSE)-72</f>
        <v>0</v>
      </c>
      <c r="K15" s="33" t="s">
        <v>27</v>
      </c>
      <c r="L15" s="33">
        <f>+VLOOKUP(K15,scoring!$U$10:$AA$105,6,FALSE)-72</f>
        <v>-1</v>
      </c>
      <c r="M15" s="33" t="s">
        <v>22</v>
      </c>
      <c r="N15" s="33">
        <f>+VLOOKUP(M15,scoring!$U$10:$AA$105,6,FALSE)-72</f>
        <v>13</v>
      </c>
      <c r="O15" s="33" t="s">
        <v>32</v>
      </c>
      <c r="P15" s="33">
        <f>+VLOOKUP(O15,scoring!$U$10:$AA$105,6,FALSE)-72</f>
        <v>1</v>
      </c>
      <c r="Q15" s="33" t="s">
        <v>28</v>
      </c>
      <c r="R15" s="33">
        <f>+VLOOKUP(Q15,scoring!$U$10:$AA$105,6,FALSE)-72</f>
        <v>-1</v>
      </c>
      <c r="S15" s="33" t="s">
        <v>168</v>
      </c>
      <c r="T15" s="33">
        <f>+VLOOKUP(S15,scoring!$U$10:$AA$105,6,FALSE)-72</f>
        <v>13</v>
      </c>
      <c r="U15" s="33">
        <f>IFERROR(SMALL(E15:T15,1)+SMALL(E15:T15,2)+SMALL(E15:T15,3),IFERROR(SMALL(E15:T15,1)+SMALL(E15:T15,2),IFERROR(SMALL(E15:T15,1),"-")))</f>
        <v>-5</v>
      </c>
    </row>
    <row r="16" spans="1:21" ht="16" x14ac:dyDescent="0.2">
      <c r="A16" s="32">
        <v>15</v>
      </c>
      <c r="B16" s="33" t="s">
        <v>126</v>
      </c>
      <c r="C16" s="33" t="s">
        <v>62</v>
      </c>
      <c r="D16" s="33" t="s">
        <v>63</v>
      </c>
      <c r="E16" s="33" t="s">
        <v>15</v>
      </c>
      <c r="F16" s="33">
        <f>+VLOOKUP(E16,scoring!$U$10:$AA$105,6,FALSE)-72</f>
        <v>0</v>
      </c>
      <c r="G16" s="33" t="s">
        <v>15</v>
      </c>
      <c r="H16" s="33">
        <f>+VLOOKUP(G16,scoring!$U$10:$AA$105,6,FALSE)-72</f>
        <v>0</v>
      </c>
      <c r="I16" s="33" t="s">
        <v>41</v>
      </c>
      <c r="J16" s="33">
        <f>+VLOOKUP(I16,scoring!$U$10:$AA$105,6,FALSE)-72</f>
        <v>13</v>
      </c>
      <c r="K16" s="33" t="s">
        <v>41</v>
      </c>
      <c r="L16" s="33">
        <f>+VLOOKUP(K16,scoring!$U$10:$AA$105,6,FALSE)-72</f>
        <v>13</v>
      </c>
      <c r="M16" s="33" t="s">
        <v>32</v>
      </c>
      <c r="N16" s="33">
        <f>+VLOOKUP(M16,scoring!$U$10:$AA$105,6,FALSE)-72</f>
        <v>1</v>
      </c>
      <c r="O16" s="33" t="s">
        <v>29</v>
      </c>
      <c r="P16" s="33">
        <f>+VLOOKUP(O16,scoring!$U$10:$AA$105,6,FALSE)-72</f>
        <v>-3</v>
      </c>
      <c r="Q16" s="33" t="s">
        <v>171</v>
      </c>
      <c r="R16" s="33">
        <f>+VLOOKUP(Q16,scoring!$U$10:$AA$105,6,FALSE)-72</f>
        <v>13</v>
      </c>
      <c r="S16" s="33" t="s">
        <v>171</v>
      </c>
      <c r="T16" s="33">
        <f>+VLOOKUP(S16,scoring!$U$10:$AA$105,6,FALSE)-72</f>
        <v>13</v>
      </c>
      <c r="U16" s="33">
        <f>IFERROR(SMALL(E16:T16,1)+SMALL(E16:T16,2)+SMALL(E16:T16,3),IFERROR(SMALL(E16:T16,1)+SMALL(E16:T16,2),IFERROR(SMALL(E16:T16,1),"-")))</f>
        <v>-3</v>
      </c>
    </row>
    <row r="17" spans="1:21" ht="16" x14ac:dyDescent="0.2">
      <c r="A17" s="32">
        <v>30</v>
      </c>
      <c r="B17" s="33" t="s">
        <v>152</v>
      </c>
      <c r="C17" s="33" t="s">
        <v>52</v>
      </c>
      <c r="D17" s="33" t="s">
        <v>53</v>
      </c>
      <c r="E17" s="33" t="s">
        <v>16</v>
      </c>
      <c r="F17" s="33">
        <f>+VLOOKUP(E17,scoring!$U$10:$AA$105,6,FALSE)-72</f>
        <v>13</v>
      </c>
      <c r="G17" s="33" t="s">
        <v>180</v>
      </c>
      <c r="H17" s="33">
        <f>+VLOOKUP(G17,scoring!$U$10:$AA$105,6,FALSE)-72</f>
        <v>-1</v>
      </c>
      <c r="I17" s="33" t="s">
        <v>54</v>
      </c>
      <c r="J17" s="33">
        <f>+VLOOKUP(I17,scoring!$U$10:$AA$105,6,FALSE)-72</f>
        <v>9</v>
      </c>
      <c r="K17" s="33" t="s">
        <v>32</v>
      </c>
      <c r="L17" s="33">
        <f>+VLOOKUP(K17,scoring!$U$10:$AA$105,6,FALSE)-72</f>
        <v>1</v>
      </c>
      <c r="M17" s="33" t="s">
        <v>32</v>
      </c>
      <c r="N17" s="33">
        <f>+VLOOKUP(M17,scoring!$U$10:$AA$105,6,FALSE)-72</f>
        <v>1</v>
      </c>
      <c r="O17" s="33" t="s">
        <v>94</v>
      </c>
      <c r="P17" s="33">
        <f>+VLOOKUP(O17,scoring!$U$10:$AA$105,6,FALSE)-72</f>
        <v>13</v>
      </c>
      <c r="Q17" s="33" t="s">
        <v>15</v>
      </c>
      <c r="R17" s="33">
        <f>+VLOOKUP(Q17,scoring!$U$10:$AA$105,6,FALSE)-72</f>
        <v>0</v>
      </c>
      <c r="S17" s="33" t="s">
        <v>33</v>
      </c>
      <c r="T17" s="33">
        <f>+VLOOKUP(S17,scoring!$U$10:$AA$105,6,FALSE)-72</f>
        <v>-2</v>
      </c>
      <c r="U17" s="33">
        <f>IFERROR(SMALL(E17:T17,1)+SMALL(E17:T17,2)+SMALL(E17:T17,3),IFERROR(SMALL(E17:T17,1)+SMALL(E17:T17,2),IFERROR(SMALL(E17:T17,1),"-")))</f>
        <v>-3</v>
      </c>
    </row>
    <row r="18" spans="1:21" ht="16" x14ac:dyDescent="0.2">
      <c r="A18" s="32">
        <v>7</v>
      </c>
      <c r="B18" s="33" t="s">
        <v>112</v>
      </c>
      <c r="C18" s="33" t="s">
        <v>56</v>
      </c>
      <c r="D18" s="33" t="s">
        <v>57</v>
      </c>
      <c r="E18" s="33" t="s">
        <v>34</v>
      </c>
      <c r="F18" s="33">
        <f>+VLOOKUP(E18,scoring!$U$10:$AA$105,6,FALSE)-72</f>
        <v>0</v>
      </c>
      <c r="G18" s="33" t="s">
        <v>34</v>
      </c>
      <c r="H18" s="33">
        <f>+VLOOKUP(G18,scoring!$U$10:$AA$105,6,FALSE)-72</f>
        <v>0</v>
      </c>
      <c r="I18" s="33" t="s">
        <v>34</v>
      </c>
      <c r="J18" s="33">
        <f>+VLOOKUP(I18,scoring!$U$10:$AA$105,6,FALSE)-72</f>
        <v>0</v>
      </c>
      <c r="K18" s="33" t="s">
        <v>29</v>
      </c>
      <c r="L18" s="33">
        <f>+VLOOKUP(K18,scoring!$U$10:$AA$105,6,FALSE)-72</f>
        <v>-3</v>
      </c>
      <c r="M18" s="33" t="s">
        <v>170</v>
      </c>
      <c r="N18" s="33">
        <f>+VLOOKUP(M18,scoring!$U$10:$AA$105,6,FALSE)-72</f>
        <v>1</v>
      </c>
      <c r="O18" s="33" t="s">
        <v>24</v>
      </c>
      <c r="P18" s="33">
        <f>+VLOOKUP(O18,scoring!$U$10:$AA$105,6,FALSE)-72</f>
        <v>13</v>
      </c>
      <c r="Q18" s="33" t="s">
        <v>97</v>
      </c>
      <c r="R18" s="33">
        <f>+VLOOKUP(Q18,scoring!$U$10:$AA$105,6,FALSE)-72</f>
        <v>6</v>
      </c>
      <c r="S18" s="33" t="s">
        <v>175</v>
      </c>
      <c r="T18" s="33">
        <f>+VLOOKUP(S18,scoring!$U$10:$AA$105,6,FALSE)-72</f>
        <v>2</v>
      </c>
      <c r="U18" s="33">
        <f>IFERROR(SMALL(E18:T18,1)+SMALL(E18:T18,2)+SMALL(E18:T18,3),IFERROR(SMALL(E18:T18,1)+SMALL(E18:T18,2),IFERROR(SMALL(E18:T18,1),"-")))</f>
        <v>-3</v>
      </c>
    </row>
    <row r="19" spans="1:21" ht="16" x14ac:dyDescent="0.2">
      <c r="A19" s="32">
        <v>13</v>
      </c>
      <c r="B19" s="33" t="s">
        <v>124</v>
      </c>
      <c r="C19" s="33" t="s">
        <v>12</v>
      </c>
      <c r="D19" s="33" t="s">
        <v>13</v>
      </c>
      <c r="E19" s="33" t="s">
        <v>14</v>
      </c>
      <c r="F19" s="33">
        <f>+VLOOKUP(E19,scoring!$U$10:$AA$105,6,FALSE)-72</f>
        <v>0</v>
      </c>
      <c r="G19" s="33" t="s">
        <v>14</v>
      </c>
      <c r="H19" s="33">
        <f>+VLOOKUP(G19,scoring!$U$10:$AA$105,6,FALSE)-72</f>
        <v>0</v>
      </c>
      <c r="I19" s="33" t="s">
        <v>14</v>
      </c>
      <c r="J19" s="33">
        <f>+VLOOKUP(I19,scoring!$U$10:$AA$105,6,FALSE)-72</f>
        <v>0</v>
      </c>
      <c r="K19" s="33" t="s">
        <v>42</v>
      </c>
      <c r="L19" s="33">
        <f>+VLOOKUP(K19,scoring!$U$10:$AA$105,6,FALSE)-72</f>
        <v>-1</v>
      </c>
      <c r="M19" s="33" t="s">
        <v>42</v>
      </c>
      <c r="N19" s="33">
        <f>+VLOOKUP(M19,scoring!$U$10:$AA$105,6,FALSE)-72</f>
        <v>-1</v>
      </c>
      <c r="O19" s="33" t="s">
        <v>42</v>
      </c>
      <c r="P19" s="33">
        <f>+VLOOKUP(O19,scoring!$U$10:$AA$105,6,FALSE)-72</f>
        <v>-1</v>
      </c>
      <c r="Q19" s="33" t="s">
        <v>34</v>
      </c>
      <c r="R19" s="33">
        <f>+VLOOKUP(Q19,scoring!$U$10:$AA$105,6,FALSE)-72</f>
        <v>0</v>
      </c>
      <c r="S19" s="33" t="s">
        <v>26</v>
      </c>
      <c r="T19" s="33">
        <f>+VLOOKUP(S19,scoring!$U$10:$AA$105,6,FALSE)-72</f>
        <v>14</v>
      </c>
      <c r="U19" s="33">
        <f>IFERROR(SMALL(E19:T19,1)+SMALL(E19:T19,2)+SMALL(E19:T19,3),IFERROR(SMALL(E19:T19,1)+SMALL(E19:T19,2),IFERROR(SMALL(E19:T19,1),"-")))</f>
        <v>-3</v>
      </c>
    </row>
    <row r="20" spans="1:21" ht="16" x14ac:dyDescent="0.2">
      <c r="A20" s="32">
        <v>39</v>
      </c>
      <c r="B20" s="33" t="s">
        <v>161</v>
      </c>
      <c r="C20" s="33" t="s">
        <v>70</v>
      </c>
      <c r="D20" s="33" t="s">
        <v>71</v>
      </c>
      <c r="E20" s="33" t="s">
        <v>34</v>
      </c>
      <c r="F20" s="33">
        <f>+VLOOKUP(E20,scoring!$U$10:$AA$105,6,FALSE)-72</f>
        <v>0</v>
      </c>
      <c r="G20" s="33" t="s">
        <v>27</v>
      </c>
      <c r="H20" s="33">
        <f>+VLOOKUP(G20,scoring!$U$10:$AA$105,6,FALSE)-72</f>
        <v>-1</v>
      </c>
      <c r="I20" s="33" t="s">
        <v>176</v>
      </c>
      <c r="J20" s="33">
        <f>+VLOOKUP(I20,scoring!$U$10:$AA$105,6,FALSE)-72</f>
        <v>-1</v>
      </c>
      <c r="K20" s="33" t="s">
        <v>164</v>
      </c>
      <c r="L20" s="33">
        <f>+VLOOKUP(K20,scoring!$U$10:$AA$105,6,FALSE)-72</f>
        <v>-1</v>
      </c>
      <c r="M20" s="33" t="s">
        <v>75</v>
      </c>
      <c r="N20" s="33">
        <f>+VLOOKUP(M20,scoring!$U$10:$AA$105,6,FALSE)-72</f>
        <v>2</v>
      </c>
      <c r="O20" s="33" t="s">
        <v>54</v>
      </c>
      <c r="P20" s="33">
        <f>+VLOOKUP(O20,scoring!$U$10:$AA$105,6,FALSE)-72</f>
        <v>9</v>
      </c>
      <c r="Q20" s="33" t="s">
        <v>55</v>
      </c>
      <c r="R20" s="33">
        <f>+VLOOKUP(Q20,scoring!$U$10:$AA$105,6,FALSE)-72</f>
        <v>-1</v>
      </c>
      <c r="S20" s="33" t="s">
        <v>38</v>
      </c>
      <c r="T20" s="33">
        <f>+VLOOKUP(S20,scoring!$U$10:$AA$105,6,FALSE)-72</f>
        <v>3</v>
      </c>
      <c r="U20" s="33">
        <f>IFERROR(SMALL(E20:T20,1)+SMALL(E20:T20,2)+SMALL(E20:T20,3),IFERROR(SMALL(E20:T20,1)+SMALL(E20:T20,2),IFERROR(SMALL(E20:T20,1),"-")))</f>
        <v>-3</v>
      </c>
    </row>
    <row r="21" spans="1:21" ht="16" x14ac:dyDescent="0.2">
      <c r="A21" s="32">
        <v>27</v>
      </c>
      <c r="B21" s="33" t="s">
        <v>147</v>
      </c>
      <c r="C21" s="33" t="s">
        <v>86</v>
      </c>
      <c r="D21" s="33" t="s">
        <v>57</v>
      </c>
      <c r="E21" s="33" t="s">
        <v>55</v>
      </c>
      <c r="F21" s="33">
        <f>+VLOOKUP(E21,scoring!$U$10:$AA$105,6,FALSE)-72</f>
        <v>-1</v>
      </c>
      <c r="G21" s="33" t="s">
        <v>55</v>
      </c>
      <c r="H21" s="33">
        <f>+VLOOKUP(G21,scoring!$U$10:$AA$105,6,FALSE)-72</f>
        <v>-1</v>
      </c>
      <c r="I21" s="33" t="s">
        <v>54</v>
      </c>
      <c r="J21" s="33">
        <f>+VLOOKUP(I21,scoring!$U$10:$AA$105,6,FALSE)-72</f>
        <v>9</v>
      </c>
      <c r="K21" s="33" t="s">
        <v>43</v>
      </c>
      <c r="L21" s="33">
        <f>+VLOOKUP(K21,scoring!$U$10:$AA$105,6,FALSE)-72</f>
        <v>1</v>
      </c>
      <c r="M21" s="33" t="s">
        <v>75</v>
      </c>
      <c r="N21" s="33">
        <f>+VLOOKUP(M21,scoring!$U$10:$AA$105,6,FALSE)-72</f>
        <v>2</v>
      </c>
      <c r="O21" s="33" t="s">
        <v>55</v>
      </c>
      <c r="P21" s="33">
        <f>+VLOOKUP(O21,scoring!$U$10:$AA$105,6,FALSE)-72</f>
        <v>-1</v>
      </c>
      <c r="Q21" s="33" t="s">
        <v>26</v>
      </c>
      <c r="R21" s="33">
        <f>+VLOOKUP(Q21,scoring!$U$10:$AA$105,6,FALSE)-72</f>
        <v>14</v>
      </c>
      <c r="S21" s="33" t="s">
        <v>26</v>
      </c>
      <c r="T21" s="33">
        <f>+VLOOKUP(S21,scoring!$U$10:$AA$105,6,FALSE)-72</f>
        <v>14</v>
      </c>
      <c r="U21" s="33">
        <f>IFERROR(SMALL(E21:T21,1)+SMALL(E21:T21,2)+SMALL(E21:T21,3),IFERROR(SMALL(E21:T21,1)+SMALL(E21:T21,2),IFERROR(SMALL(E21:T21,1),"-")))</f>
        <v>-3</v>
      </c>
    </row>
    <row r="22" spans="1:21" ht="16" x14ac:dyDescent="0.2">
      <c r="A22" s="32">
        <v>25</v>
      </c>
      <c r="B22" s="33" t="s">
        <v>144</v>
      </c>
      <c r="C22" s="33" t="s">
        <v>48</v>
      </c>
      <c r="D22" s="33" t="s">
        <v>49</v>
      </c>
      <c r="E22" s="33" t="s">
        <v>27</v>
      </c>
      <c r="F22" s="33">
        <f>+VLOOKUP(E22,scoring!$U$10:$AA$105,6,FALSE)-72</f>
        <v>-1</v>
      </c>
      <c r="G22" s="33" t="s">
        <v>33</v>
      </c>
      <c r="H22" s="33">
        <f>+VLOOKUP(G22,scoring!$U$10:$AA$105,6,FALSE)-72</f>
        <v>-2</v>
      </c>
      <c r="I22" s="33" t="s">
        <v>41</v>
      </c>
      <c r="J22" s="33">
        <f>+VLOOKUP(I22,scoring!$U$10:$AA$105,6,FALSE)-72</f>
        <v>13</v>
      </c>
      <c r="K22" s="33" t="s">
        <v>75</v>
      </c>
      <c r="L22" s="33">
        <f>+VLOOKUP(K22,scoring!$U$10:$AA$105,6,FALSE)-72</f>
        <v>2</v>
      </c>
      <c r="M22" s="33" t="s">
        <v>34</v>
      </c>
      <c r="N22" s="33">
        <f>+VLOOKUP(M22,scoring!$U$10:$AA$105,6,FALSE)-72</f>
        <v>0</v>
      </c>
      <c r="O22" s="33" t="s">
        <v>16</v>
      </c>
      <c r="P22" s="33">
        <f>+VLOOKUP(O22,scoring!$U$10:$AA$105,6,FALSE)-72</f>
        <v>13</v>
      </c>
      <c r="Q22" s="33" t="s">
        <v>168</v>
      </c>
      <c r="R22" s="33">
        <f>+VLOOKUP(Q22,scoring!$U$10:$AA$105,6,FALSE)-72</f>
        <v>13</v>
      </c>
      <c r="S22" s="33" t="s">
        <v>26</v>
      </c>
      <c r="T22" s="33">
        <f>+VLOOKUP(S22,scoring!$U$10:$AA$105,6,FALSE)-72</f>
        <v>14</v>
      </c>
      <c r="U22" s="33">
        <f>IFERROR(SMALL(E22:T22,1)+SMALL(E22:T22,2)+SMALL(E22:T22,3),IFERROR(SMALL(E22:T22,1)+SMALL(E22:T22,2),IFERROR(SMALL(E22:T22,1),"-")))</f>
        <v>-3</v>
      </c>
    </row>
    <row r="23" spans="1:21" ht="16" x14ac:dyDescent="0.2">
      <c r="A23" s="32">
        <v>36</v>
      </c>
      <c r="B23" s="33" t="s">
        <v>101</v>
      </c>
      <c r="C23" s="33" t="s">
        <v>102</v>
      </c>
      <c r="D23" s="33" t="s">
        <v>103</v>
      </c>
      <c r="E23" s="33" t="s">
        <v>43</v>
      </c>
      <c r="F23" s="33">
        <f>+VLOOKUP(E23,scoring!$U$10:$AA$105,6,FALSE)-72</f>
        <v>1</v>
      </c>
      <c r="G23" s="33" t="s">
        <v>15</v>
      </c>
      <c r="H23" s="33">
        <f>+VLOOKUP(G23,scoring!$U$10:$AA$105,6,FALSE)-72</f>
        <v>0</v>
      </c>
      <c r="I23" s="33" t="s">
        <v>166</v>
      </c>
      <c r="J23" s="33">
        <f>+VLOOKUP(I23,scoring!$U$10:$AA$105,6,FALSE)-72</f>
        <v>-3</v>
      </c>
      <c r="K23" s="33" t="s">
        <v>170</v>
      </c>
      <c r="L23" s="33">
        <f>+VLOOKUP(K23,scoring!$U$10:$AA$105,6,FALSE)-72</f>
        <v>1</v>
      </c>
      <c r="M23" s="33" t="s">
        <v>26</v>
      </c>
      <c r="N23" s="33">
        <f>+VLOOKUP(M23,scoring!$U$10:$AA$105,6,FALSE)-72</f>
        <v>14</v>
      </c>
      <c r="O23" s="33" t="s">
        <v>26</v>
      </c>
      <c r="P23" s="33">
        <f>+VLOOKUP(O23,scoring!$U$10:$AA$105,6,FALSE)-72</f>
        <v>14</v>
      </c>
      <c r="Q23" s="33" t="s">
        <v>26</v>
      </c>
      <c r="R23" s="33">
        <f>+VLOOKUP(Q23,scoring!$U$10:$AA$105,6,FALSE)-72</f>
        <v>14</v>
      </c>
      <c r="S23" s="33" t="s">
        <v>26</v>
      </c>
      <c r="T23" s="33">
        <f>+VLOOKUP(S23,scoring!$U$10:$AA$105,6,FALSE)-72</f>
        <v>14</v>
      </c>
      <c r="U23" s="33">
        <f>IFERROR(SMALL(E23:T23,1)+SMALL(E23:T23,2)+SMALL(E23:T23,3),IFERROR(SMALL(E23:T23,1)+SMALL(E23:T23,2),IFERROR(SMALL(E23:T23,1),"-")))</f>
        <v>-2</v>
      </c>
    </row>
    <row r="24" spans="1:21" ht="16" x14ac:dyDescent="0.2">
      <c r="A24" s="32">
        <v>32</v>
      </c>
      <c r="B24" s="33" t="s">
        <v>153</v>
      </c>
      <c r="C24" s="33" t="s">
        <v>89</v>
      </c>
      <c r="D24" s="33" t="s">
        <v>90</v>
      </c>
      <c r="E24" s="33" t="s">
        <v>34</v>
      </c>
      <c r="F24" s="33">
        <f>+VLOOKUP(E24,scoring!$U$10:$AA$105,6,FALSE)-72</f>
        <v>0</v>
      </c>
      <c r="G24" s="33" t="s">
        <v>32</v>
      </c>
      <c r="H24" s="33">
        <f>+VLOOKUP(G24,scoring!$U$10:$AA$105,6,FALSE)-72</f>
        <v>1</v>
      </c>
      <c r="I24" s="33" t="s">
        <v>41</v>
      </c>
      <c r="J24" s="33">
        <f>+VLOOKUP(I24,scoring!$U$10:$AA$105,6,FALSE)-72</f>
        <v>13</v>
      </c>
      <c r="K24" s="33" t="s">
        <v>94</v>
      </c>
      <c r="L24" s="33">
        <f>+VLOOKUP(K24,scoring!$U$10:$AA$105,6,FALSE)-72</f>
        <v>13</v>
      </c>
      <c r="M24" s="33" t="s">
        <v>28</v>
      </c>
      <c r="N24" s="33">
        <f>+VLOOKUP(M24,scoring!$U$10:$AA$105,6,FALSE)-72</f>
        <v>-1</v>
      </c>
      <c r="O24" s="33" t="s">
        <v>169</v>
      </c>
      <c r="P24" s="33">
        <f>+VLOOKUP(O24,scoring!$U$10:$AA$105,6,FALSE)-72</f>
        <v>-1</v>
      </c>
      <c r="Q24" s="33" t="s">
        <v>34</v>
      </c>
      <c r="R24" s="33">
        <f>+VLOOKUP(Q24,scoring!$U$10:$AA$105,6,FALSE)-72</f>
        <v>0</v>
      </c>
      <c r="S24" s="33" t="s">
        <v>94</v>
      </c>
      <c r="T24" s="33">
        <f>+VLOOKUP(S24,scoring!$U$10:$AA$105,6,FALSE)-72</f>
        <v>13</v>
      </c>
      <c r="U24" s="33">
        <f>IFERROR(SMALL(E24:T24,1)+SMALL(E24:T24,2)+SMALL(E24:T24,3),IFERROR(SMALL(E24:T24,1)+SMALL(E24:T24,2),IFERROR(SMALL(E24:T24,1),"-")))</f>
        <v>-2</v>
      </c>
    </row>
    <row r="25" spans="1:21" ht="16" x14ac:dyDescent="0.2">
      <c r="A25" s="32">
        <v>5</v>
      </c>
      <c r="B25" s="33" t="s">
        <v>146</v>
      </c>
      <c r="C25" s="33" t="s">
        <v>59</v>
      </c>
      <c r="D25" s="33" t="s">
        <v>60</v>
      </c>
      <c r="E25" s="33" t="s">
        <v>33</v>
      </c>
      <c r="F25" s="33">
        <f>+VLOOKUP(E25,scoring!$U$10:$AA$105,6,FALSE)-72</f>
        <v>-2</v>
      </c>
      <c r="G25" s="33" t="s">
        <v>33</v>
      </c>
      <c r="H25" s="33">
        <f>+VLOOKUP(G25,scoring!$U$10:$AA$105,6,FALSE)-72</f>
        <v>-2</v>
      </c>
      <c r="I25" s="33" t="s">
        <v>54</v>
      </c>
      <c r="J25" s="33">
        <f>+VLOOKUP(I25,scoring!$U$10:$AA$105,6,FALSE)-72</f>
        <v>9</v>
      </c>
      <c r="K25" s="33" t="s">
        <v>41</v>
      </c>
      <c r="L25" s="33">
        <f>+VLOOKUP(K25,scoring!$U$10:$AA$105,6,FALSE)-72</f>
        <v>13</v>
      </c>
      <c r="M25" s="33" t="s">
        <v>41</v>
      </c>
      <c r="N25" s="33">
        <f>+VLOOKUP(M25,scoring!$U$10:$AA$105,6,FALSE)-72</f>
        <v>13</v>
      </c>
      <c r="O25" s="33" t="s">
        <v>165</v>
      </c>
      <c r="P25" s="33">
        <f>+VLOOKUP(O25,scoring!$U$10:$AA$105,6,FALSE)-72</f>
        <v>13</v>
      </c>
      <c r="Q25" s="33" t="s">
        <v>75</v>
      </c>
      <c r="R25" s="33">
        <f>+VLOOKUP(Q25,scoring!$U$10:$AA$105,6,FALSE)-72</f>
        <v>2</v>
      </c>
      <c r="S25" s="33" t="s">
        <v>21</v>
      </c>
      <c r="T25" s="33">
        <f>+VLOOKUP(S25,scoring!$U$10:$AA$105,6,FALSE)-72</f>
        <v>13</v>
      </c>
      <c r="U25" s="33">
        <f>IFERROR(SMALL(E25:T25,1)+SMALL(E25:T25,2)+SMALL(E25:T25,3),IFERROR(SMALL(E25:T25,1)+SMALL(E25:T25,2),IFERROR(SMALL(E25:T25,1),"-")))</f>
        <v>-2</v>
      </c>
    </row>
    <row r="26" spans="1:21" ht="16" x14ac:dyDescent="0.2">
      <c r="A26" s="32">
        <v>38</v>
      </c>
      <c r="B26" s="33" t="s">
        <v>17</v>
      </c>
      <c r="C26" s="33" t="s">
        <v>18</v>
      </c>
      <c r="D26" s="33" t="s">
        <v>19</v>
      </c>
      <c r="E26" s="33" t="s">
        <v>15</v>
      </c>
      <c r="F26" s="33">
        <f>+VLOOKUP(E26,scoring!$U$10:$AA$105,6,FALSE)-72</f>
        <v>0</v>
      </c>
      <c r="G26" s="33" t="s">
        <v>15</v>
      </c>
      <c r="H26" s="33">
        <f>+VLOOKUP(G26,scoring!$U$10:$AA$105,6,FALSE)-72</f>
        <v>0</v>
      </c>
      <c r="I26" s="33" t="s">
        <v>47</v>
      </c>
      <c r="J26" s="33">
        <f>+VLOOKUP(I26,scoring!$U$10:$AA$105,6,FALSE)-72</f>
        <v>3</v>
      </c>
      <c r="K26" s="33" t="s">
        <v>75</v>
      </c>
      <c r="L26" s="33">
        <f>+VLOOKUP(K26,scoring!$U$10:$AA$105,6,FALSE)-72</f>
        <v>2</v>
      </c>
      <c r="M26" s="33" t="s">
        <v>28</v>
      </c>
      <c r="N26" s="33">
        <f>+VLOOKUP(M26,scoring!$U$10:$AA$105,6,FALSE)-72</f>
        <v>-1</v>
      </c>
      <c r="O26" s="33" t="s">
        <v>168</v>
      </c>
      <c r="P26" s="33">
        <f>+VLOOKUP(O26,scoring!$U$10:$AA$105,6,FALSE)-72</f>
        <v>13</v>
      </c>
      <c r="Q26" s="33" t="s">
        <v>24</v>
      </c>
      <c r="R26" s="33">
        <f>+VLOOKUP(Q26,scoring!$U$10:$AA$105,6,FALSE)-72</f>
        <v>13</v>
      </c>
      <c r="S26" s="33" t="s">
        <v>177</v>
      </c>
      <c r="T26" s="33">
        <f>+VLOOKUP(S26,scoring!$U$10:$AA$105,6,FALSE)-72</f>
        <v>13</v>
      </c>
      <c r="U26" s="33">
        <f>IFERROR(SMALL(E26:T26,1)+SMALL(E26:T26,2)+SMALL(E26:T26,3),IFERROR(SMALL(E26:T26,1)+SMALL(E26:T26,2),IFERROR(SMALL(E26:T26,1),"-")))</f>
        <v>-1</v>
      </c>
    </row>
    <row r="27" spans="1:21" ht="16" x14ac:dyDescent="0.2">
      <c r="A27" s="32">
        <v>35</v>
      </c>
      <c r="B27" s="33" t="s">
        <v>163</v>
      </c>
      <c r="C27" s="33" t="s">
        <v>72</v>
      </c>
      <c r="D27" s="33" t="s">
        <v>73</v>
      </c>
      <c r="E27" s="33" t="s">
        <v>14</v>
      </c>
      <c r="F27" s="33">
        <f>+VLOOKUP(E27,scoring!$U$10:$AA$105,6,FALSE)-72</f>
        <v>0</v>
      </c>
      <c r="G27" s="33" t="s">
        <v>14</v>
      </c>
      <c r="H27" s="33">
        <f>+VLOOKUP(G27,scoring!$U$10:$AA$105,6,FALSE)-72</f>
        <v>0</v>
      </c>
      <c r="I27" s="33" t="s">
        <v>34</v>
      </c>
      <c r="J27" s="33">
        <f>+VLOOKUP(I27,scoring!$U$10:$AA$105,6,FALSE)-72</f>
        <v>0</v>
      </c>
      <c r="K27" s="33" t="s">
        <v>34</v>
      </c>
      <c r="L27" s="33">
        <f>+VLOOKUP(K27,scoring!$U$10:$AA$105,6,FALSE)-72</f>
        <v>0</v>
      </c>
      <c r="M27" s="33" t="s">
        <v>75</v>
      </c>
      <c r="N27" s="33">
        <f>+VLOOKUP(M27,scoring!$U$10:$AA$105,6,FALSE)-72</f>
        <v>2</v>
      </c>
      <c r="O27" s="33" t="s">
        <v>25</v>
      </c>
      <c r="P27" s="33">
        <f>+VLOOKUP(O27,scoring!$U$10:$AA$105,6,FALSE)-72</f>
        <v>-1</v>
      </c>
      <c r="Q27" s="33" t="s">
        <v>26</v>
      </c>
      <c r="R27" s="33">
        <f>+VLOOKUP(Q27,scoring!$U$10:$AA$105,6,FALSE)-72</f>
        <v>14</v>
      </c>
      <c r="S27" s="33" t="s">
        <v>26</v>
      </c>
      <c r="T27" s="33">
        <f>+VLOOKUP(S27,scoring!$U$10:$AA$105,6,FALSE)-72</f>
        <v>14</v>
      </c>
      <c r="U27" s="33">
        <f>IFERROR(SMALL(E27:T27,1)+SMALL(E27:T27,2)+SMALL(E27:T27,3),IFERROR(SMALL(E27:T27,1)+SMALL(E27:T27,2),IFERROR(SMALL(E27:T27,1),"-")))</f>
        <v>-1</v>
      </c>
    </row>
    <row r="28" spans="1:21" ht="16" x14ac:dyDescent="0.2">
      <c r="A28" s="32">
        <v>2</v>
      </c>
      <c r="B28" s="33" t="s">
        <v>106</v>
      </c>
      <c r="C28" s="33" t="s">
        <v>95</v>
      </c>
      <c r="D28" s="33" t="s">
        <v>96</v>
      </c>
      <c r="E28" s="33" t="s">
        <v>27</v>
      </c>
      <c r="F28" s="33">
        <f>+VLOOKUP(E28,scoring!$U$10:$AA$105,6,FALSE)-72</f>
        <v>-1</v>
      </c>
      <c r="G28" s="33" t="s">
        <v>27</v>
      </c>
      <c r="H28" s="33">
        <f>+VLOOKUP(G28,scoring!$U$10:$AA$105,6,FALSE)-72</f>
        <v>-1</v>
      </c>
      <c r="I28" s="33" t="s">
        <v>20</v>
      </c>
      <c r="J28" s="33">
        <f>+VLOOKUP(I28,scoring!$U$10:$AA$105,6,FALSE)-72</f>
        <v>13</v>
      </c>
      <c r="K28" s="33" t="s">
        <v>20</v>
      </c>
      <c r="L28" s="33">
        <f>+VLOOKUP(K28,scoring!$U$10:$AA$105,6,FALSE)-72</f>
        <v>13</v>
      </c>
      <c r="M28" s="33" t="s">
        <v>22</v>
      </c>
      <c r="N28" s="33">
        <f>+VLOOKUP(M28,scoring!$U$10:$AA$105,6,FALSE)-72</f>
        <v>13</v>
      </c>
      <c r="O28" s="33" t="s">
        <v>22</v>
      </c>
      <c r="P28" s="33">
        <f>+VLOOKUP(O28,scoring!$U$10:$AA$105,6,FALSE)-72</f>
        <v>13</v>
      </c>
      <c r="Q28" s="33" t="s">
        <v>24</v>
      </c>
      <c r="R28" s="33">
        <f>+VLOOKUP(Q28,scoring!$U$10:$AA$105,6,FALSE)-72</f>
        <v>13</v>
      </c>
      <c r="S28" s="33" t="s">
        <v>170</v>
      </c>
      <c r="T28" s="33">
        <f>+VLOOKUP(S28,scoring!$U$10:$AA$105,6,FALSE)-72</f>
        <v>1</v>
      </c>
      <c r="U28" s="33">
        <f>IFERROR(SMALL(E28:T28,1)+SMALL(E28:T28,2)+SMALL(E28:T28,3),IFERROR(SMALL(E28:T28,1)+SMALL(E28:T28,2),IFERROR(SMALL(E28:T28,1),"-")))</f>
        <v>-1</v>
      </c>
    </row>
    <row r="29" spans="1:21" ht="16" x14ac:dyDescent="0.2">
      <c r="A29" s="32">
        <v>16</v>
      </c>
      <c r="B29" s="33" t="s">
        <v>127</v>
      </c>
      <c r="C29" s="33" t="s">
        <v>80</v>
      </c>
      <c r="D29" s="33" t="s">
        <v>81</v>
      </c>
      <c r="E29" s="33" t="s">
        <v>34</v>
      </c>
      <c r="F29" s="33">
        <f>+VLOOKUP(E29,scoring!$U$10:$AA$105,6,FALSE)-72</f>
        <v>0</v>
      </c>
      <c r="G29" s="33" t="s">
        <v>34</v>
      </c>
      <c r="H29" s="33">
        <f>+VLOOKUP(G29,scoring!$U$10:$AA$105,6,FALSE)-72</f>
        <v>0</v>
      </c>
      <c r="I29" s="33" t="s">
        <v>34</v>
      </c>
      <c r="J29" s="33">
        <f>+VLOOKUP(I29,scoring!$U$10:$AA$105,6,FALSE)-72</f>
        <v>0</v>
      </c>
      <c r="K29" s="33" t="s">
        <v>54</v>
      </c>
      <c r="L29" s="33">
        <f>+VLOOKUP(K29,scoring!$U$10:$AA$105,6,FALSE)-72</f>
        <v>9</v>
      </c>
      <c r="M29" s="33" t="s">
        <v>25</v>
      </c>
      <c r="N29" s="33">
        <f>+VLOOKUP(M29,scoring!$U$10:$AA$105,6,FALSE)-72</f>
        <v>-1</v>
      </c>
      <c r="O29" s="33" t="s">
        <v>26</v>
      </c>
      <c r="P29" s="33">
        <f>+VLOOKUP(O29,scoring!$U$10:$AA$105,6,FALSE)-72</f>
        <v>14</v>
      </c>
      <c r="Q29" s="33" t="s">
        <v>26</v>
      </c>
      <c r="R29" s="33">
        <f>+VLOOKUP(Q29,scoring!$U$10:$AA$105,6,FALSE)-72</f>
        <v>14</v>
      </c>
      <c r="S29" s="33" t="s">
        <v>26</v>
      </c>
      <c r="T29" s="33">
        <f>+VLOOKUP(S29,scoring!$U$10:$AA$105,6,FALSE)-72</f>
        <v>14</v>
      </c>
      <c r="U29" s="33">
        <f>IFERROR(SMALL(E29:T29,1)+SMALL(E29:T29,2)+SMALL(E29:T29,3),IFERROR(SMALL(E29:T29,1)+SMALL(E29:T29,2),IFERROR(SMALL(E29:T29,1),"-")))</f>
        <v>-1</v>
      </c>
    </row>
    <row r="30" spans="1:21" ht="16" x14ac:dyDescent="0.2">
      <c r="A30" s="32">
        <v>20</v>
      </c>
      <c r="B30" s="33" t="s">
        <v>132</v>
      </c>
      <c r="C30" s="33" t="s">
        <v>134</v>
      </c>
      <c r="D30" s="33" t="s">
        <v>136</v>
      </c>
      <c r="E30" s="33" t="s">
        <v>34</v>
      </c>
      <c r="F30" s="33">
        <f>+VLOOKUP(E30,scoring!$U$10:$AA$105,6,FALSE)-72</f>
        <v>0</v>
      </c>
      <c r="G30" s="33" t="s">
        <v>34</v>
      </c>
      <c r="H30" s="33">
        <f>+VLOOKUP(G30,scoring!$U$10:$AA$105,6,FALSE)-72</f>
        <v>0</v>
      </c>
      <c r="I30" s="33" t="s">
        <v>34</v>
      </c>
      <c r="J30" s="33">
        <f>+VLOOKUP(I30,scoring!$U$10:$AA$105,6,FALSE)-72</f>
        <v>0</v>
      </c>
      <c r="K30" s="33" t="s">
        <v>54</v>
      </c>
      <c r="L30" s="33">
        <f>+VLOOKUP(K30,scoring!$U$10:$AA$105,6,FALSE)-72</f>
        <v>9</v>
      </c>
      <c r="M30" s="33" t="s">
        <v>25</v>
      </c>
      <c r="N30" s="33">
        <f>+VLOOKUP(M30,scoring!$U$10:$AA$105,6,FALSE)-72</f>
        <v>-1</v>
      </c>
      <c r="O30" s="33" t="s">
        <v>26</v>
      </c>
      <c r="P30" s="33">
        <f>+VLOOKUP(O30,scoring!$U$10:$AA$105,6,FALSE)-72</f>
        <v>14</v>
      </c>
      <c r="Q30" s="33" t="s">
        <v>26</v>
      </c>
      <c r="R30" s="33">
        <f>+VLOOKUP(Q30,scoring!$U$10:$AA$105,6,FALSE)-72</f>
        <v>14</v>
      </c>
      <c r="S30" s="33" t="s">
        <v>26</v>
      </c>
      <c r="T30" s="33">
        <f>+VLOOKUP(S30,scoring!$U$10:$AA$105,6,FALSE)-72</f>
        <v>14</v>
      </c>
      <c r="U30" s="33">
        <f>IFERROR(SMALL(E30:T30,1)+SMALL(E30:T30,2)+SMALL(E30:T30,3),IFERROR(SMALL(E30:T30,1)+SMALL(E30:T30,2),IFERROR(SMALL(E30:T30,1),"-")))</f>
        <v>-1</v>
      </c>
    </row>
    <row r="31" spans="1:21" ht="16" x14ac:dyDescent="0.2">
      <c r="A31" s="32">
        <v>28</v>
      </c>
      <c r="B31" s="33" t="s">
        <v>148</v>
      </c>
      <c r="C31" s="33" t="s">
        <v>82</v>
      </c>
      <c r="D31" s="33" t="s">
        <v>83</v>
      </c>
      <c r="E31" s="33" t="s">
        <v>34</v>
      </c>
      <c r="F31" s="33">
        <f>+VLOOKUP(E31,scoring!$U$10:$AA$105,6,FALSE)-72</f>
        <v>0</v>
      </c>
      <c r="G31" s="33" t="s">
        <v>34</v>
      </c>
      <c r="H31" s="33">
        <f>+VLOOKUP(G31,scoring!$U$10:$AA$105,6,FALSE)-72</f>
        <v>0</v>
      </c>
      <c r="I31" s="33" t="s">
        <v>47</v>
      </c>
      <c r="J31" s="33">
        <f>+VLOOKUP(I31,scoring!$U$10:$AA$105,6,FALSE)-72</f>
        <v>3</v>
      </c>
      <c r="K31" s="33" t="s">
        <v>44</v>
      </c>
      <c r="L31" s="33">
        <f>+VLOOKUP(K31,scoring!$U$10:$AA$105,6,FALSE)-72</f>
        <v>-1</v>
      </c>
      <c r="M31" s="33" t="s">
        <v>94</v>
      </c>
      <c r="N31" s="33">
        <f>+VLOOKUP(M31,scoring!$U$10:$AA$105,6,FALSE)-72</f>
        <v>13</v>
      </c>
      <c r="O31" s="33" t="s">
        <v>178</v>
      </c>
      <c r="P31" s="33">
        <f>+VLOOKUP(O31,scoring!$U$10:$AA$105,6,FALSE)-72</f>
        <v>13</v>
      </c>
      <c r="Q31" s="33" t="s">
        <v>26</v>
      </c>
      <c r="R31" s="33">
        <f>+VLOOKUP(Q31,scoring!$U$10:$AA$105,6,FALSE)-72</f>
        <v>14</v>
      </c>
      <c r="S31" s="33" t="s">
        <v>26</v>
      </c>
      <c r="T31" s="33">
        <f>+VLOOKUP(S31,scoring!$U$10:$AA$105,6,FALSE)-72</f>
        <v>14</v>
      </c>
      <c r="U31" s="33">
        <f>IFERROR(SMALL(E31:T31,1)+SMALL(E31:T31,2)+SMALL(E31:T31,3),IFERROR(SMALL(E31:T31,1)+SMALL(E31:T31,2),IFERROR(SMALL(E31:T31,1),"-")))</f>
        <v>-1</v>
      </c>
    </row>
    <row r="32" spans="1:21" ht="16" x14ac:dyDescent="0.2">
      <c r="A32" s="32">
        <v>10</v>
      </c>
      <c r="B32" s="33" t="s">
        <v>119</v>
      </c>
      <c r="C32" s="33" t="s">
        <v>117</v>
      </c>
      <c r="D32" s="33" t="s">
        <v>118</v>
      </c>
      <c r="E32" s="33" t="s">
        <v>43</v>
      </c>
      <c r="F32" s="33">
        <f>+VLOOKUP(E32,scoring!$U$10:$AA$105,6,FALSE)-72</f>
        <v>1</v>
      </c>
      <c r="G32" s="33" t="s">
        <v>58</v>
      </c>
      <c r="H32" s="33">
        <f>+VLOOKUP(G32,scoring!$U$10:$AA$105,6,FALSE)-72</f>
        <v>-3</v>
      </c>
      <c r="I32" s="33" t="s">
        <v>32</v>
      </c>
      <c r="J32" s="33">
        <f>+VLOOKUP(I32,scoring!$U$10:$AA$105,6,FALSE)-72</f>
        <v>1</v>
      </c>
      <c r="K32" s="33" t="s">
        <v>75</v>
      </c>
      <c r="L32" s="33">
        <f>+VLOOKUP(K32,scoring!$U$10:$AA$105,6,FALSE)-72</f>
        <v>2</v>
      </c>
      <c r="M32" s="33" t="s">
        <v>178</v>
      </c>
      <c r="N32" s="33">
        <f>+VLOOKUP(M32,scoring!$U$10:$AA$105,6,FALSE)-72</f>
        <v>13</v>
      </c>
      <c r="O32" s="33" t="s">
        <v>26</v>
      </c>
      <c r="P32" s="33">
        <f>+VLOOKUP(O32,scoring!$U$10:$AA$105,6,FALSE)-72</f>
        <v>14</v>
      </c>
      <c r="Q32" s="33" t="s">
        <v>26</v>
      </c>
      <c r="R32" s="33">
        <f>+VLOOKUP(Q32,scoring!$U$10:$AA$105,6,FALSE)-72</f>
        <v>14</v>
      </c>
      <c r="S32" s="33" t="s">
        <v>26</v>
      </c>
      <c r="T32" s="33">
        <f>+VLOOKUP(S32,scoring!$U$10:$AA$105,6,FALSE)-72</f>
        <v>14</v>
      </c>
      <c r="U32" s="33">
        <f>IFERROR(SMALL(E32:T32,1)+SMALL(E32:T32,2)+SMALL(E32:T32,3),IFERROR(SMALL(E32:T32,1)+SMALL(E32:T32,2),IFERROR(SMALL(E32:T32,1),"-")))</f>
        <v>-1</v>
      </c>
    </row>
    <row r="33" spans="1:21" ht="16" x14ac:dyDescent="0.2">
      <c r="A33" s="32">
        <v>23</v>
      </c>
      <c r="B33" s="33" t="s">
        <v>139</v>
      </c>
      <c r="C33" s="33" t="s">
        <v>141</v>
      </c>
      <c r="D33" s="33" t="s">
        <v>142</v>
      </c>
      <c r="E33" s="33" t="s">
        <v>15</v>
      </c>
      <c r="F33" s="33">
        <f>+VLOOKUP(E33,scoring!$U$10:$AA$105,6,FALSE)-72</f>
        <v>0</v>
      </c>
      <c r="G33" s="33" t="s">
        <v>15</v>
      </c>
      <c r="H33" s="33">
        <f>+VLOOKUP(G33,scoring!$U$10:$AA$105,6,FALSE)-72</f>
        <v>0</v>
      </c>
      <c r="I33" s="33" t="s">
        <v>15</v>
      </c>
      <c r="J33" s="33">
        <f>+VLOOKUP(I33,scoring!$U$10:$AA$105,6,FALSE)-72</f>
        <v>0</v>
      </c>
      <c r="K33" s="33" t="s">
        <v>23</v>
      </c>
      <c r="L33" s="33">
        <f>+VLOOKUP(K33,scoring!$U$10:$AA$105,6,FALSE)-72</f>
        <v>13</v>
      </c>
      <c r="M33" s="33" t="s">
        <v>38</v>
      </c>
      <c r="N33" s="33">
        <f>+VLOOKUP(M33,scoring!$U$10:$AA$105,6,FALSE)-72</f>
        <v>3</v>
      </c>
      <c r="O33" s="33" t="s">
        <v>26</v>
      </c>
      <c r="P33" s="33">
        <f>+VLOOKUP(O33,scoring!$U$10:$AA$105,6,FALSE)-72</f>
        <v>14</v>
      </c>
      <c r="Q33" s="33" t="s">
        <v>26</v>
      </c>
      <c r="R33" s="33">
        <f>+VLOOKUP(Q33,scoring!$U$10:$AA$105,6,FALSE)-72</f>
        <v>14</v>
      </c>
      <c r="S33" s="33" t="s">
        <v>26</v>
      </c>
      <c r="T33" s="33">
        <f>+VLOOKUP(S33,scoring!$U$10:$AA$105,6,FALSE)-72</f>
        <v>14</v>
      </c>
      <c r="U33" s="33">
        <f>IFERROR(SMALL(E33:T33,1)+SMALL(E33:T33,2)+SMALL(E33:T33,3),IFERROR(SMALL(E33:T33,1)+SMALL(E33:T33,2),IFERROR(SMALL(E33:T33,1),"-")))</f>
        <v>0</v>
      </c>
    </row>
    <row r="34" spans="1:21" ht="16" x14ac:dyDescent="0.2">
      <c r="A34" s="32">
        <v>18</v>
      </c>
      <c r="B34" s="33" t="s">
        <v>131</v>
      </c>
      <c r="C34" s="33" t="s">
        <v>45</v>
      </c>
      <c r="D34" s="33" t="s">
        <v>46</v>
      </c>
      <c r="E34" s="33" t="s">
        <v>34</v>
      </c>
      <c r="F34" s="33">
        <f>+VLOOKUP(E34,scoring!$U$10:$AA$105,6,FALSE)-72</f>
        <v>0</v>
      </c>
      <c r="G34" s="33" t="s">
        <v>47</v>
      </c>
      <c r="H34" s="33">
        <f>+VLOOKUP(G34,scoring!$U$10:$AA$105,6,FALSE)-72</f>
        <v>3</v>
      </c>
      <c r="I34" s="33" t="s">
        <v>27</v>
      </c>
      <c r="J34" s="33">
        <f>+VLOOKUP(I34,scoring!$U$10:$AA$105,6,FALSE)-72</f>
        <v>-1</v>
      </c>
      <c r="K34" s="33" t="s">
        <v>54</v>
      </c>
      <c r="L34" s="33">
        <f>+VLOOKUP(K34,scoring!$U$10:$AA$105,6,FALSE)-72</f>
        <v>9</v>
      </c>
      <c r="M34" s="33" t="s">
        <v>21</v>
      </c>
      <c r="N34" s="33">
        <f>+VLOOKUP(M34,scoring!$U$10:$AA$105,6,FALSE)-72</f>
        <v>13</v>
      </c>
      <c r="O34" s="33" t="s">
        <v>31</v>
      </c>
      <c r="P34" s="33">
        <f>+VLOOKUP(O34,scoring!$U$10:$AA$105,6,FALSE)-72</f>
        <v>1</v>
      </c>
      <c r="Q34" s="33" t="s">
        <v>26</v>
      </c>
      <c r="R34" s="33">
        <f>+VLOOKUP(Q34,scoring!$U$10:$AA$105,6,FALSE)-72</f>
        <v>14</v>
      </c>
      <c r="S34" s="33" t="s">
        <v>26</v>
      </c>
      <c r="T34" s="33">
        <f>+VLOOKUP(S34,scoring!$U$10:$AA$105,6,FALSE)-72</f>
        <v>14</v>
      </c>
      <c r="U34" s="33">
        <f>IFERROR(SMALL(E34:T34,1)+SMALL(E34:T34,2)+SMALL(E34:T34,3),IFERROR(SMALL(E34:T34,1)+SMALL(E34:T34,2),IFERROR(SMALL(E34:T34,1),"-")))</f>
        <v>0</v>
      </c>
    </row>
    <row r="35" spans="1:21" ht="16" x14ac:dyDescent="0.2">
      <c r="A35" s="32">
        <v>8</v>
      </c>
      <c r="B35" s="33" t="s">
        <v>113</v>
      </c>
      <c r="C35" s="33" t="s">
        <v>65</v>
      </c>
      <c r="D35" s="33" t="s">
        <v>66</v>
      </c>
      <c r="E35" s="33" t="s">
        <v>27</v>
      </c>
      <c r="F35" s="33">
        <f>+VLOOKUP(E35,scoring!$U$10:$AA$105,6,FALSE)-72</f>
        <v>-1</v>
      </c>
      <c r="G35" s="33" t="s">
        <v>27</v>
      </c>
      <c r="H35" s="33">
        <f>+VLOOKUP(G35,scoring!$U$10:$AA$105,6,FALSE)-72</f>
        <v>-1</v>
      </c>
      <c r="I35" s="33" t="s">
        <v>47</v>
      </c>
      <c r="J35" s="33">
        <f>+VLOOKUP(I35,scoring!$U$10:$AA$105,6,FALSE)-72</f>
        <v>3</v>
      </c>
      <c r="K35" s="33" t="s">
        <v>54</v>
      </c>
      <c r="L35" s="33">
        <f>+VLOOKUP(K35,scoring!$U$10:$AA$105,6,FALSE)-72</f>
        <v>9</v>
      </c>
      <c r="M35" s="33" t="s">
        <v>38</v>
      </c>
      <c r="N35" s="33">
        <f>+VLOOKUP(M35,scoring!$U$10:$AA$105,6,FALSE)-72</f>
        <v>3</v>
      </c>
      <c r="O35" s="33" t="s">
        <v>94</v>
      </c>
      <c r="P35" s="33">
        <f>+VLOOKUP(O35,scoring!$U$10:$AA$105,6,FALSE)-72</f>
        <v>13</v>
      </c>
      <c r="Q35" s="33" t="s">
        <v>26</v>
      </c>
      <c r="R35" s="33">
        <f>+VLOOKUP(Q35,scoring!$U$10:$AA$105,6,FALSE)-72</f>
        <v>14</v>
      </c>
      <c r="S35" s="33" t="s">
        <v>26</v>
      </c>
      <c r="T35" s="33">
        <f>+VLOOKUP(S35,scoring!$U$10:$AA$105,6,FALSE)-72</f>
        <v>14</v>
      </c>
      <c r="U35" s="33">
        <f>IFERROR(SMALL(E35:T35,1)+SMALL(E35:T35,2)+SMALL(E35:T35,3),IFERROR(SMALL(E35:T35,1)+SMALL(E35:T35,2),IFERROR(SMALL(E35:T35,1),"-")))</f>
        <v>1</v>
      </c>
    </row>
    <row r="36" spans="1:21" ht="16" x14ac:dyDescent="0.2">
      <c r="A36" s="32">
        <v>12</v>
      </c>
      <c r="B36" s="33" t="s">
        <v>122</v>
      </c>
      <c r="C36" s="33" t="s">
        <v>123</v>
      </c>
      <c r="D36" s="33" t="s">
        <v>87</v>
      </c>
      <c r="E36" s="33" t="s">
        <v>15</v>
      </c>
      <c r="F36" s="33">
        <f>+VLOOKUP(E36,scoring!$U$10:$AA$105,6,FALSE)-72</f>
        <v>0</v>
      </c>
      <c r="G36" s="33" t="s">
        <v>34</v>
      </c>
      <c r="H36" s="33">
        <f>+VLOOKUP(G36,scoring!$U$10:$AA$105,6,FALSE)-72</f>
        <v>0</v>
      </c>
      <c r="I36" s="33" t="s">
        <v>32</v>
      </c>
      <c r="J36" s="33">
        <f>+VLOOKUP(I36,scoring!$U$10:$AA$105,6,FALSE)-72</f>
        <v>1</v>
      </c>
      <c r="K36" s="33" t="s">
        <v>47</v>
      </c>
      <c r="L36" s="33">
        <f>+VLOOKUP(K36,scoring!$U$10:$AA$105,6,FALSE)-72</f>
        <v>3</v>
      </c>
      <c r="M36" s="33" t="s">
        <v>22</v>
      </c>
      <c r="N36" s="33">
        <f>+VLOOKUP(M36,scoring!$U$10:$AA$105,6,FALSE)-72</f>
        <v>13</v>
      </c>
      <c r="O36" s="33" t="s">
        <v>76</v>
      </c>
      <c r="P36" s="33">
        <f>+VLOOKUP(O36,scoring!$U$10:$AA$105,6,FALSE)-72</f>
        <v>13</v>
      </c>
      <c r="Q36" s="33" t="s">
        <v>26</v>
      </c>
      <c r="R36" s="33">
        <f>+VLOOKUP(Q36,scoring!$U$10:$AA$105,6,FALSE)-72</f>
        <v>14</v>
      </c>
      <c r="S36" s="33" t="s">
        <v>26</v>
      </c>
      <c r="T36" s="33">
        <f>+VLOOKUP(S36,scoring!$U$10:$AA$105,6,FALSE)-72</f>
        <v>14</v>
      </c>
      <c r="U36" s="33">
        <f>IFERROR(SMALL(E36:T36,1)+SMALL(E36:T36,2)+SMALL(E36:T36,3),IFERROR(SMALL(E36:T36,1)+SMALL(E36:T36,2),IFERROR(SMALL(E36:T36,1),"-")))</f>
        <v>1</v>
      </c>
    </row>
    <row r="37" spans="1:21" ht="16" x14ac:dyDescent="0.2">
      <c r="A37" s="32">
        <v>29</v>
      </c>
      <c r="B37" s="33" t="s">
        <v>149</v>
      </c>
      <c r="C37" s="33" t="s">
        <v>150</v>
      </c>
      <c r="D37" s="33" t="s">
        <v>151</v>
      </c>
      <c r="E37" s="33" t="s">
        <v>47</v>
      </c>
      <c r="F37" s="33">
        <f>+VLOOKUP(E37,scoring!$U$10:$AA$105,6,FALSE)-72</f>
        <v>3</v>
      </c>
      <c r="G37" s="33" t="s">
        <v>47</v>
      </c>
      <c r="H37" s="33">
        <f>+VLOOKUP(G37,scoring!$U$10:$AA$105,6,FALSE)-72</f>
        <v>3</v>
      </c>
      <c r="I37" s="33" t="s">
        <v>14</v>
      </c>
      <c r="J37" s="33">
        <f>+VLOOKUP(I37,scoring!$U$10:$AA$105,6,FALSE)-72</f>
        <v>0</v>
      </c>
      <c r="K37" s="33" t="s">
        <v>14</v>
      </c>
      <c r="L37" s="33">
        <f>+VLOOKUP(K37,scoring!$U$10:$AA$105,6,FALSE)-72</f>
        <v>0</v>
      </c>
      <c r="M37" s="33" t="s">
        <v>165</v>
      </c>
      <c r="N37" s="33">
        <f>+VLOOKUP(M37,scoring!$U$10:$AA$105,6,FALSE)-72</f>
        <v>13</v>
      </c>
      <c r="O37" s="33" t="s">
        <v>165</v>
      </c>
      <c r="P37" s="33">
        <f>+VLOOKUP(O37,scoring!$U$10:$AA$105,6,FALSE)-72</f>
        <v>13</v>
      </c>
      <c r="Q37" s="33" t="s">
        <v>26</v>
      </c>
      <c r="R37" s="33">
        <f>+VLOOKUP(Q37,scoring!$U$10:$AA$105,6,FALSE)-72</f>
        <v>14</v>
      </c>
      <c r="S37" s="33" t="s">
        <v>26</v>
      </c>
      <c r="T37" s="33">
        <f>+VLOOKUP(S37,scoring!$U$10:$AA$105,6,FALSE)-72</f>
        <v>14</v>
      </c>
      <c r="U37" s="33">
        <f>IFERROR(SMALL(E37:T37,1)+SMALL(E37:T37,2)+SMALL(E37:T37,3),IFERROR(SMALL(E37:T37,1)+SMALL(E37:T37,2),IFERROR(SMALL(E37:T37,1),"-")))</f>
        <v>3</v>
      </c>
    </row>
    <row r="38" spans="1:21" ht="16" x14ac:dyDescent="0.2">
      <c r="A38" s="32">
        <v>37</v>
      </c>
      <c r="B38" s="33" t="s">
        <v>160</v>
      </c>
      <c r="C38" s="33" t="s">
        <v>157</v>
      </c>
      <c r="D38" s="33" t="s">
        <v>158</v>
      </c>
      <c r="E38" s="33" t="s">
        <v>43</v>
      </c>
      <c r="F38" s="33">
        <f>+VLOOKUP(E38,scoring!$U$10:$AA$105,6,FALSE)-72</f>
        <v>1</v>
      </c>
      <c r="G38" s="33" t="s">
        <v>58</v>
      </c>
      <c r="H38" s="33">
        <f>+VLOOKUP(G38,scoring!$U$10:$AA$105,6,FALSE)-72</f>
        <v>-3</v>
      </c>
      <c r="I38" s="33" t="s">
        <v>54</v>
      </c>
      <c r="J38" s="33">
        <f>+VLOOKUP(I38,scoring!$U$10:$AA$105,6,FALSE)-72</f>
        <v>9</v>
      </c>
      <c r="K38" s="33" t="s">
        <v>22</v>
      </c>
      <c r="L38" s="33">
        <f>+VLOOKUP(K38,scoring!$U$10:$AA$105,6,FALSE)-72</f>
        <v>13</v>
      </c>
      <c r="M38" s="33" t="s">
        <v>168</v>
      </c>
      <c r="N38" s="33">
        <f>+VLOOKUP(M38,scoring!$U$10:$AA$105,6,FALSE)-72</f>
        <v>13</v>
      </c>
      <c r="O38" s="33" t="s">
        <v>26</v>
      </c>
      <c r="P38" s="33">
        <f>+VLOOKUP(O38,scoring!$U$10:$AA$105,6,FALSE)-72</f>
        <v>14</v>
      </c>
      <c r="Q38" s="33" t="s">
        <v>26</v>
      </c>
      <c r="R38" s="33">
        <f>+VLOOKUP(Q38,scoring!$U$10:$AA$105,6,FALSE)-72</f>
        <v>14</v>
      </c>
      <c r="S38" s="33" t="s">
        <v>26</v>
      </c>
      <c r="T38" s="33">
        <f>+VLOOKUP(S38,scoring!$U$10:$AA$105,6,FALSE)-72</f>
        <v>14</v>
      </c>
      <c r="U38" s="33">
        <f>IFERROR(SMALL(E38:T38,1)+SMALL(E38:T38,2)+SMALL(E38:T38,3),IFERROR(SMALL(E38:T38,1)+SMALL(E38:T38,2),IFERROR(SMALL(E38:T38,1),"-")))</f>
        <v>7</v>
      </c>
    </row>
    <row r="39" spans="1:21" ht="16" x14ac:dyDescent="0.2">
      <c r="A39" s="32">
        <v>9</v>
      </c>
      <c r="B39" s="33" t="s">
        <v>114</v>
      </c>
      <c r="C39" s="33" t="s">
        <v>115</v>
      </c>
      <c r="D39" s="33" t="s">
        <v>116</v>
      </c>
      <c r="E39" s="33" t="s">
        <v>34</v>
      </c>
      <c r="F39" s="33">
        <f>+VLOOKUP(E39,scoring!$U$10:$AA$105,6,FALSE)-72</f>
        <v>0</v>
      </c>
      <c r="G39" s="33" t="s">
        <v>34</v>
      </c>
      <c r="H39" s="33">
        <f>+VLOOKUP(G39,scoring!$U$10:$AA$105,6,FALSE)-72</f>
        <v>0</v>
      </c>
      <c r="I39" s="33" t="s">
        <v>41</v>
      </c>
      <c r="J39" s="33">
        <f>+VLOOKUP(I39,scoring!$U$10:$AA$105,6,FALSE)-72</f>
        <v>13</v>
      </c>
      <c r="K39" s="33" t="s">
        <v>165</v>
      </c>
      <c r="L39" s="33">
        <f>+VLOOKUP(K39,scoring!$U$10:$AA$105,6,FALSE)-72</f>
        <v>13</v>
      </c>
      <c r="M39" s="33" t="s">
        <v>165</v>
      </c>
      <c r="N39" s="33">
        <f>+VLOOKUP(M39,scoring!$U$10:$AA$105,6,FALSE)-72</f>
        <v>13</v>
      </c>
      <c r="O39" s="33" t="s">
        <v>21</v>
      </c>
      <c r="P39" s="33">
        <f>+VLOOKUP(O39,scoring!$U$10:$AA$105,6,FALSE)-72</f>
        <v>13</v>
      </c>
      <c r="Q39" s="33" t="s">
        <v>21</v>
      </c>
      <c r="R39" s="33">
        <f>+VLOOKUP(Q39,scoring!$U$10:$AA$105,6,FALSE)-72</f>
        <v>13</v>
      </c>
      <c r="S39" s="33" t="s">
        <v>26</v>
      </c>
      <c r="T39" s="33">
        <f>+VLOOKUP(S39,scoring!$U$10:$AA$105,6,FALSE)-72</f>
        <v>14</v>
      </c>
      <c r="U39" s="33">
        <f>IFERROR(SMALL(E39:T39,1)+SMALL(E39:T39,2)+SMALL(E39:T39,3),IFERROR(SMALL(E39:T39,1)+SMALL(E39:T39,2),IFERROR(SMALL(E39:T39,1),"-")))</f>
        <v>13</v>
      </c>
    </row>
    <row r="40" spans="1:21" ht="16" x14ac:dyDescent="0.2">
      <c r="A40" s="32">
        <v>24</v>
      </c>
      <c r="B40" s="33" t="s">
        <v>140</v>
      </c>
      <c r="C40" s="33" t="s">
        <v>141</v>
      </c>
      <c r="D40" s="33" t="s">
        <v>143</v>
      </c>
      <c r="E40" s="33" t="s">
        <v>43</v>
      </c>
      <c r="F40" s="33">
        <f>+VLOOKUP(E40,scoring!$U$10:$AA$105,6,FALSE)-72</f>
        <v>1</v>
      </c>
      <c r="G40" s="33" t="s">
        <v>14</v>
      </c>
      <c r="H40" s="33">
        <f>+VLOOKUP(G40,scoring!$U$10:$AA$105,6,FALSE)-72</f>
        <v>0</v>
      </c>
      <c r="I40" s="33" t="s">
        <v>20</v>
      </c>
      <c r="J40" s="33">
        <f>+VLOOKUP(I40,scoring!$U$10:$AA$105,6,FALSE)-72</f>
        <v>13</v>
      </c>
      <c r="K40" s="33" t="s">
        <v>61</v>
      </c>
      <c r="L40" s="33">
        <f>+VLOOKUP(K40,scoring!$U$10:$AA$105,6,FALSE)-72</f>
        <v>13</v>
      </c>
      <c r="M40" s="33" t="s">
        <v>26</v>
      </c>
      <c r="N40" s="33">
        <f>+VLOOKUP(M40,scoring!$U$10:$AA$105,6,FALSE)-72</f>
        <v>14</v>
      </c>
      <c r="O40" s="33" t="s">
        <v>26</v>
      </c>
      <c r="P40" s="33">
        <f>+VLOOKUP(O40,scoring!$U$10:$AA$105,6,FALSE)-72</f>
        <v>14</v>
      </c>
      <c r="Q40" s="33" t="s">
        <v>26</v>
      </c>
      <c r="R40" s="33">
        <f>+VLOOKUP(Q40,scoring!$U$10:$AA$105,6,FALSE)-72</f>
        <v>14</v>
      </c>
      <c r="S40" s="33" t="s">
        <v>26</v>
      </c>
      <c r="T40" s="33">
        <f>+VLOOKUP(S40,scoring!$U$10:$AA$105,6,FALSE)-72</f>
        <v>14</v>
      </c>
      <c r="U40" s="33">
        <f>IFERROR(SMALL(E40:T40,1)+SMALL(E40:T40,2)+SMALL(E40:T40,3),IFERROR(SMALL(E40:T40,1)+SMALL(E40:T40,2),IFERROR(SMALL(E40:T40,1),"-")))</f>
        <v>14</v>
      </c>
    </row>
    <row r="41" spans="1:21" ht="16" x14ac:dyDescent="0.2">
      <c r="A41" s="32">
        <v>14</v>
      </c>
      <c r="B41" s="33" t="s">
        <v>125</v>
      </c>
      <c r="C41" s="33" t="s">
        <v>39</v>
      </c>
      <c r="D41" s="33" t="s">
        <v>40</v>
      </c>
      <c r="E41" s="33" t="s">
        <v>15</v>
      </c>
      <c r="F41" s="33">
        <f>+VLOOKUP(E41,scoring!$U$10:$AA$105,6,FALSE)-72</f>
        <v>0</v>
      </c>
      <c r="G41" s="33" t="s">
        <v>41</v>
      </c>
      <c r="H41" s="33">
        <f>+VLOOKUP(G41,scoring!$U$10:$AA$105,6,FALSE)-72</f>
        <v>13</v>
      </c>
      <c r="I41" s="33" t="s">
        <v>41</v>
      </c>
      <c r="J41" s="33">
        <f>+VLOOKUP(I41,scoring!$U$10:$AA$105,6,FALSE)-72</f>
        <v>13</v>
      </c>
      <c r="K41" s="33" t="s">
        <v>41</v>
      </c>
      <c r="L41" s="33">
        <f>+VLOOKUP(K41,scoring!$U$10:$AA$105,6,FALSE)-72</f>
        <v>13</v>
      </c>
      <c r="M41" s="33" t="s">
        <v>23</v>
      </c>
      <c r="N41" s="33">
        <f>+VLOOKUP(M41,scoring!$U$10:$AA$105,6,FALSE)-72</f>
        <v>13</v>
      </c>
      <c r="O41" s="33" t="s">
        <v>23</v>
      </c>
      <c r="P41" s="33">
        <f>+VLOOKUP(O41,scoring!$U$10:$AA$105,6,FALSE)-72</f>
        <v>13</v>
      </c>
      <c r="Q41" s="33" t="s">
        <v>23</v>
      </c>
      <c r="R41" s="33">
        <f>+VLOOKUP(Q41,scoring!$U$10:$AA$105,6,FALSE)-72</f>
        <v>13</v>
      </c>
      <c r="S41" s="33" t="s">
        <v>20</v>
      </c>
      <c r="T41" s="33">
        <f>+VLOOKUP(S41,scoring!$U$10:$AA$105,6,FALSE)-72</f>
        <v>13</v>
      </c>
      <c r="U41" s="33">
        <f>IFERROR(SMALL(E41:T41,1)+SMALL(E41:T41,2)+SMALL(E41:T41,3),IFERROR(SMALL(E41:T41,1)+SMALL(E41:T41,2),IFERROR(SMALL(E41:T41,1),"-")))</f>
        <v>26</v>
      </c>
    </row>
    <row r="43" spans="1:21" x14ac:dyDescent="0.2">
      <c r="U43" s="25"/>
    </row>
    <row r="44" spans="1:21" x14ac:dyDescent="0.2">
      <c r="A44" s="26" t="s">
        <v>275</v>
      </c>
    </row>
    <row r="45" spans="1:21" ht="16" x14ac:dyDescent="0.2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/>
      <c r="G45" s="2" t="s">
        <v>5</v>
      </c>
      <c r="H45" s="2"/>
      <c r="I45" s="2" t="s">
        <v>6</v>
      </c>
      <c r="J45" s="2"/>
      <c r="K45" s="2" t="s">
        <v>7</v>
      </c>
      <c r="L45" s="2"/>
      <c r="M45" s="2" t="s">
        <v>8</v>
      </c>
      <c r="N45" s="2"/>
      <c r="O45" s="2" t="s">
        <v>9</v>
      </c>
      <c r="P45" s="2"/>
      <c r="Q45" s="2" t="s">
        <v>10</v>
      </c>
      <c r="R45" s="2"/>
      <c r="S45" s="2" t="s">
        <v>11</v>
      </c>
      <c r="T45" s="2"/>
      <c r="U45" s="2" t="s">
        <v>183</v>
      </c>
    </row>
    <row r="46" spans="1:21" ht="16" x14ac:dyDescent="0.2">
      <c r="A46" s="32">
        <v>11</v>
      </c>
      <c r="B46" s="33" t="s">
        <v>247</v>
      </c>
      <c r="C46" s="34" t="s">
        <v>121</v>
      </c>
      <c r="D46" s="33" t="s">
        <v>100</v>
      </c>
      <c r="E46" s="33" t="s">
        <v>69</v>
      </c>
      <c r="F46" s="33">
        <f>+VLOOKUP(E46,scoring!$U$10:$AA$105,7,FALSE)-72*4</f>
        <v>-3</v>
      </c>
      <c r="G46" s="33" t="s">
        <v>47</v>
      </c>
      <c r="H46" s="33">
        <f>+VLOOKUP(G46,scoring!$U$10:$AA$105,7,FALSE)-72*4</f>
        <v>-7</v>
      </c>
      <c r="I46" s="33" t="s">
        <v>20</v>
      </c>
      <c r="J46" s="33">
        <f>+VLOOKUP(I46,scoring!$U$10:$AA$105,7,FALSE)-72*4</f>
        <v>26</v>
      </c>
      <c r="K46" s="33" t="s">
        <v>74</v>
      </c>
      <c r="L46" s="33">
        <f>+VLOOKUP(K46,scoring!$U$10:$AA$105,7,FALSE)-72*4</f>
        <v>-3</v>
      </c>
      <c r="M46" s="33" t="s">
        <v>29</v>
      </c>
      <c r="N46" s="33">
        <f>+VLOOKUP(M46,scoring!$U$10:$AA$105,7,FALSE)-72*4</f>
        <v>-9</v>
      </c>
      <c r="O46" s="33" t="s">
        <v>51</v>
      </c>
      <c r="P46" s="33">
        <f>+VLOOKUP(O46,scoring!$U$10:$AA$105,7,FALSE)-72*4</f>
        <v>-11</v>
      </c>
      <c r="Q46" s="33" t="s">
        <v>172</v>
      </c>
      <c r="R46" s="33">
        <f>+VLOOKUP(Q46,scoring!$U$10:$AA$105,7,FALSE)-72*4</f>
        <v>27</v>
      </c>
      <c r="S46" s="33" t="s">
        <v>173</v>
      </c>
      <c r="T46" s="33">
        <f>+VLOOKUP(S46,scoring!$U$10:$AA$105,7,FALSE)-72*4</f>
        <v>-4</v>
      </c>
      <c r="U46" s="33">
        <f>IFERROR(SMALL(E46:T46,1)+SMALL(E46:T46,2)+SMALL(E46:T46,3),IFERROR(SMALL(E46:T46,1)+SMALL(E46:T46,2),IFERROR(SMALL(E46:T46,1),"-")))</f>
        <v>-27</v>
      </c>
    </row>
    <row r="47" spans="1:21" ht="16" x14ac:dyDescent="0.2">
      <c r="A47" s="32">
        <v>33</v>
      </c>
      <c r="B47" s="33" t="s">
        <v>159</v>
      </c>
      <c r="C47" s="33" t="s">
        <v>154</v>
      </c>
      <c r="D47" s="33" t="s">
        <v>155</v>
      </c>
      <c r="E47" s="33" t="s">
        <v>15</v>
      </c>
      <c r="F47" s="33">
        <f>+VLOOKUP(E47,scoring!$U$10:$AA$105,7,FALSE)-72*4</f>
        <v>-6</v>
      </c>
      <c r="G47" s="33" t="s">
        <v>15</v>
      </c>
      <c r="H47" s="33">
        <f>+VLOOKUP(G47,scoring!$U$10:$AA$105,7,FALSE)-72*4</f>
        <v>-6</v>
      </c>
      <c r="I47" s="33" t="s">
        <v>51</v>
      </c>
      <c r="J47" s="33">
        <f>+VLOOKUP(I47,scoring!$U$10:$AA$105,7,FALSE)-72*4</f>
        <v>-11</v>
      </c>
      <c r="K47" s="33" t="s">
        <v>29</v>
      </c>
      <c r="L47" s="33">
        <f>+VLOOKUP(K47,scoring!$U$10:$AA$105,7,FALSE)-72*4</f>
        <v>-9</v>
      </c>
      <c r="M47" s="33" t="s">
        <v>33</v>
      </c>
      <c r="N47" s="33">
        <f>+VLOOKUP(M47,scoring!$U$10:$AA$105,7,FALSE)-72*4</f>
        <v>2</v>
      </c>
      <c r="O47" s="33" t="s">
        <v>167</v>
      </c>
      <c r="P47" s="33">
        <f>+VLOOKUP(O47,scoring!$U$10:$AA$105,7,FALSE)-72*4</f>
        <v>7</v>
      </c>
      <c r="Q47" s="33" t="s">
        <v>88</v>
      </c>
      <c r="R47" s="33">
        <f>+VLOOKUP(Q47,scoring!$U$10:$AA$105,7,FALSE)-72*4</f>
        <v>-3</v>
      </c>
      <c r="S47" s="33" t="s">
        <v>22</v>
      </c>
      <c r="T47" s="33">
        <f>+VLOOKUP(S47,scoring!$U$10:$AA$105,7,FALSE)-72*4</f>
        <v>25</v>
      </c>
      <c r="U47" s="33">
        <f>IFERROR(SMALL(E47:T47,1)+SMALL(E47:T47,2)+SMALL(E47:T47,3),IFERROR(SMALL(E47:T47,1)+SMALL(E47:T47,2),IFERROR(SMALL(E47:T47,1),"-")))</f>
        <v>-26</v>
      </c>
    </row>
    <row r="48" spans="1:21" ht="16" x14ac:dyDescent="0.2">
      <c r="A48" s="32">
        <v>15</v>
      </c>
      <c r="B48" s="33" t="s">
        <v>126</v>
      </c>
      <c r="C48" s="33" t="s">
        <v>62</v>
      </c>
      <c r="D48" s="33" t="s">
        <v>63</v>
      </c>
      <c r="E48" s="33" t="s">
        <v>15</v>
      </c>
      <c r="F48" s="33">
        <f>+VLOOKUP(E48,scoring!$U$10:$AA$105,7,FALSE)-72*4</f>
        <v>-6</v>
      </c>
      <c r="G48" s="33" t="s">
        <v>15</v>
      </c>
      <c r="H48" s="33">
        <f>+VLOOKUP(G48,scoring!$U$10:$AA$105,7,FALSE)-72*4</f>
        <v>-6</v>
      </c>
      <c r="I48" s="33" t="s">
        <v>41</v>
      </c>
      <c r="J48" s="33">
        <f>+VLOOKUP(I48,scoring!$U$10:$AA$105,7,FALSE)-72*4</f>
        <v>24</v>
      </c>
      <c r="K48" s="33" t="s">
        <v>41</v>
      </c>
      <c r="L48" s="33">
        <f>+VLOOKUP(K48,scoring!$U$10:$AA$105,7,FALSE)-72*4</f>
        <v>24</v>
      </c>
      <c r="M48" s="33" t="s">
        <v>32</v>
      </c>
      <c r="N48" s="33">
        <f>+VLOOKUP(M48,scoring!$U$10:$AA$105,7,FALSE)-72*4</f>
        <v>-2</v>
      </c>
      <c r="O48" s="33" t="s">
        <v>29</v>
      </c>
      <c r="P48" s="33">
        <f>+VLOOKUP(O48,scoring!$U$10:$AA$105,7,FALSE)-72*4</f>
        <v>-9</v>
      </c>
      <c r="Q48" s="33" t="s">
        <v>171</v>
      </c>
      <c r="R48" s="33">
        <f>+VLOOKUP(Q48,scoring!$U$10:$AA$105,7,FALSE)-72*4</f>
        <v>29</v>
      </c>
      <c r="S48" s="33" t="s">
        <v>171</v>
      </c>
      <c r="T48" s="33">
        <f>+VLOOKUP(S48,scoring!$U$10:$AA$105,7,FALSE)-72*4</f>
        <v>29</v>
      </c>
      <c r="U48" s="33">
        <f>IFERROR(SMALL(E48:T48,1)+SMALL(E48:T48,2)+SMALL(E48:T48,3),IFERROR(SMALL(E48:T48,1)+SMALL(E48:T48,2),IFERROR(SMALL(E48:T48,1),"-")))</f>
        <v>-21</v>
      </c>
    </row>
    <row r="49" spans="1:21" ht="16" x14ac:dyDescent="0.2">
      <c r="A49" s="32">
        <v>21</v>
      </c>
      <c r="B49" s="33" t="s">
        <v>137</v>
      </c>
      <c r="C49" s="33" t="s">
        <v>35</v>
      </c>
      <c r="D49" s="33" t="s">
        <v>36</v>
      </c>
      <c r="E49" s="33" t="s">
        <v>15</v>
      </c>
      <c r="F49" s="33">
        <f>+VLOOKUP(E49,scoring!$U$10:$AA$105,7,FALSE)-72*4</f>
        <v>-6</v>
      </c>
      <c r="G49" s="33" t="s">
        <v>34</v>
      </c>
      <c r="H49" s="33">
        <f>+VLOOKUP(G49,scoring!$U$10:$AA$105,7,FALSE)-72*4</f>
        <v>-3</v>
      </c>
      <c r="I49" s="33" t="s">
        <v>54</v>
      </c>
      <c r="J49" s="33">
        <f>+VLOOKUP(I49,scoring!$U$10:$AA$105,7,FALSE)-72*4</f>
        <v>4</v>
      </c>
      <c r="K49" s="33" t="s">
        <v>75</v>
      </c>
      <c r="L49" s="33">
        <f>+VLOOKUP(K49,scoring!$U$10:$AA$105,7,FALSE)-72*4</f>
        <v>6</v>
      </c>
      <c r="M49" s="33" t="s">
        <v>23</v>
      </c>
      <c r="N49" s="33">
        <f>+VLOOKUP(M49,scoring!$U$10:$AA$105,7,FALSE)-72*4</f>
        <v>26</v>
      </c>
      <c r="O49" s="33" t="s">
        <v>51</v>
      </c>
      <c r="P49" s="33">
        <f>+VLOOKUP(O49,scoring!$U$10:$AA$105,7,FALSE)-72*4</f>
        <v>-11</v>
      </c>
      <c r="Q49" s="33" t="s">
        <v>64</v>
      </c>
      <c r="R49" s="33">
        <f>+VLOOKUP(Q49,scoring!$U$10:$AA$105,7,FALSE)-72*4</f>
        <v>26</v>
      </c>
      <c r="S49" s="33" t="s">
        <v>64</v>
      </c>
      <c r="T49" s="33">
        <f>+VLOOKUP(S49,scoring!$U$10:$AA$105,7,FALSE)-72*4</f>
        <v>26</v>
      </c>
      <c r="U49" s="33">
        <f>IFERROR(SMALL(E49:T49,1)+SMALL(E49:T49,2)+SMALL(E49:T49,3),IFERROR(SMALL(E49:T49,1)+SMALL(E49:T49,2),IFERROR(SMALL(E49:T49,1),"-")))</f>
        <v>-20</v>
      </c>
    </row>
    <row r="50" spans="1:21" ht="16" x14ac:dyDescent="0.2">
      <c r="A50" s="32">
        <v>38</v>
      </c>
      <c r="B50" s="33" t="s">
        <v>17</v>
      </c>
      <c r="C50" s="33" t="s">
        <v>18</v>
      </c>
      <c r="D50" s="33" t="s">
        <v>19</v>
      </c>
      <c r="E50" s="33" t="s">
        <v>15</v>
      </c>
      <c r="F50" s="33">
        <f>+VLOOKUP(E50,scoring!$U$10:$AA$105,7,FALSE)-72*4</f>
        <v>-6</v>
      </c>
      <c r="G50" s="33" t="s">
        <v>15</v>
      </c>
      <c r="H50" s="33">
        <f>+VLOOKUP(G50,scoring!$U$10:$AA$105,7,FALSE)-72*4</f>
        <v>-6</v>
      </c>
      <c r="I50" s="33" t="s">
        <v>47</v>
      </c>
      <c r="J50" s="33">
        <f>+VLOOKUP(I50,scoring!$U$10:$AA$105,7,FALSE)-72*4</f>
        <v>-7</v>
      </c>
      <c r="K50" s="33" t="s">
        <v>75</v>
      </c>
      <c r="L50" s="33">
        <f>+VLOOKUP(K50,scoring!$U$10:$AA$105,7,FALSE)-72*4</f>
        <v>6</v>
      </c>
      <c r="M50" s="33" t="s">
        <v>28</v>
      </c>
      <c r="N50" s="33">
        <f>+VLOOKUP(M50,scoring!$U$10:$AA$105,7,FALSE)-72*4</f>
        <v>0</v>
      </c>
      <c r="O50" s="33" t="s">
        <v>168</v>
      </c>
      <c r="P50" s="33">
        <f>+VLOOKUP(O50,scoring!$U$10:$AA$105,7,FALSE)-72*4</f>
        <v>26</v>
      </c>
      <c r="Q50" s="33" t="s">
        <v>24</v>
      </c>
      <c r="R50" s="33">
        <f>+VLOOKUP(Q50,scoring!$U$10:$AA$105,7,FALSE)-72*4</f>
        <v>28</v>
      </c>
      <c r="S50" s="33" t="s">
        <v>177</v>
      </c>
      <c r="T50" s="33">
        <f>+VLOOKUP(S50,scoring!$U$10:$AA$105,7,FALSE)-72*4</f>
        <v>27</v>
      </c>
      <c r="U50" s="33">
        <f>IFERROR(SMALL(E50:T50,1)+SMALL(E50:T50,2)+SMALL(E50:T50,3),IFERROR(SMALL(E50:T50,1)+SMALL(E50:T50,2),IFERROR(SMALL(E50:T50,1),"-")))</f>
        <v>-19</v>
      </c>
    </row>
    <row r="51" spans="1:21" ht="16" x14ac:dyDescent="0.2">
      <c r="A51" s="32">
        <v>36</v>
      </c>
      <c r="B51" s="33" t="s">
        <v>101</v>
      </c>
      <c r="C51" s="33" t="s">
        <v>102</v>
      </c>
      <c r="D51" s="33" t="s">
        <v>103</v>
      </c>
      <c r="E51" s="33" t="s">
        <v>43</v>
      </c>
      <c r="F51" s="33">
        <f>+VLOOKUP(E51,scoring!$U$10:$AA$105,7,FALSE)-72*4</f>
        <v>-11</v>
      </c>
      <c r="G51" s="33" t="s">
        <v>15</v>
      </c>
      <c r="H51" s="33">
        <f>+VLOOKUP(G51,scoring!$U$10:$AA$105,7,FALSE)-72*4</f>
        <v>-6</v>
      </c>
      <c r="I51" s="33" t="s">
        <v>166</v>
      </c>
      <c r="J51" s="33">
        <f>+VLOOKUP(I51,scoring!$U$10:$AA$105,7,FALSE)-72*4</f>
        <v>-2</v>
      </c>
      <c r="K51" s="33" t="s">
        <v>170</v>
      </c>
      <c r="L51" s="33">
        <f>+VLOOKUP(K51,scoring!$U$10:$AA$105,7,FALSE)-72*4</f>
        <v>1</v>
      </c>
      <c r="M51" s="33" t="s">
        <v>26</v>
      </c>
      <c r="N51" s="33">
        <f>+VLOOKUP(M51,scoring!$U$10:$AA$105,7,FALSE)-72*4</f>
        <v>39</v>
      </c>
      <c r="O51" s="33" t="s">
        <v>26</v>
      </c>
      <c r="P51" s="33">
        <f>+VLOOKUP(O51,scoring!$U$10:$AA$105,7,FALSE)-72*4</f>
        <v>39</v>
      </c>
      <c r="Q51" s="33" t="s">
        <v>26</v>
      </c>
      <c r="R51" s="33">
        <f>+VLOOKUP(Q51,scoring!$U$10:$AA$105,7,FALSE)-72*4</f>
        <v>39</v>
      </c>
      <c r="S51" s="33" t="s">
        <v>26</v>
      </c>
      <c r="T51" s="33">
        <f>+VLOOKUP(S51,scoring!$U$10:$AA$105,7,FALSE)-72*4</f>
        <v>39</v>
      </c>
      <c r="U51" s="33">
        <f>IFERROR(SMALL(E51:T51,1)+SMALL(E51:T51,2)+SMALL(E51:T51,3),IFERROR(SMALL(E51:T51,1)+SMALL(E51:T51,2),IFERROR(SMALL(E51:T51,1),"-")))</f>
        <v>-19</v>
      </c>
    </row>
    <row r="52" spans="1:21" ht="16" x14ac:dyDescent="0.2">
      <c r="A52" s="32">
        <v>23</v>
      </c>
      <c r="B52" s="33" t="s">
        <v>139</v>
      </c>
      <c r="C52" s="33" t="s">
        <v>141</v>
      </c>
      <c r="D52" s="33" t="s">
        <v>142</v>
      </c>
      <c r="E52" s="33" t="s">
        <v>15</v>
      </c>
      <c r="F52" s="33">
        <f>+VLOOKUP(E52,scoring!$U$10:$AA$105,7,FALSE)-72*4</f>
        <v>-6</v>
      </c>
      <c r="G52" s="33" t="s">
        <v>15</v>
      </c>
      <c r="H52" s="33">
        <f>+VLOOKUP(G52,scoring!$U$10:$AA$105,7,FALSE)-72*4</f>
        <v>-6</v>
      </c>
      <c r="I52" s="33" t="s">
        <v>15</v>
      </c>
      <c r="J52" s="33">
        <f>+VLOOKUP(I52,scoring!$U$10:$AA$105,7,FALSE)-72*4</f>
        <v>-6</v>
      </c>
      <c r="K52" s="33" t="s">
        <v>23</v>
      </c>
      <c r="L52" s="33">
        <f>+VLOOKUP(K52,scoring!$U$10:$AA$105,7,FALSE)-72*4</f>
        <v>26</v>
      </c>
      <c r="M52" s="33" t="s">
        <v>38</v>
      </c>
      <c r="N52" s="33">
        <f>+VLOOKUP(M52,scoring!$U$10:$AA$105,7,FALSE)-72*4</f>
        <v>-5</v>
      </c>
      <c r="O52" s="33" t="s">
        <v>26</v>
      </c>
      <c r="P52" s="33">
        <f>+VLOOKUP(O52,scoring!$U$10:$AA$105,7,FALSE)-72*4</f>
        <v>39</v>
      </c>
      <c r="Q52" s="33" t="s">
        <v>26</v>
      </c>
      <c r="R52" s="33">
        <f>+VLOOKUP(Q52,scoring!$U$10:$AA$105,7,FALSE)-72*4</f>
        <v>39</v>
      </c>
      <c r="S52" s="33" t="s">
        <v>26</v>
      </c>
      <c r="T52" s="33">
        <f>+VLOOKUP(S52,scoring!$U$10:$AA$105,7,FALSE)-72*4</f>
        <v>39</v>
      </c>
      <c r="U52" s="33">
        <f>IFERROR(SMALL(E52:T52,1)+SMALL(E52:T52,2)+SMALL(E52:T52,3),IFERROR(SMALL(E52:T52,1)+SMALL(E52:T52,2),IFERROR(SMALL(E52:T52,1),"-")))</f>
        <v>-18</v>
      </c>
    </row>
    <row r="53" spans="1:21" ht="16" x14ac:dyDescent="0.2">
      <c r="A53" s="32">
        <v>19</v>
      </c>
      <c r="B53" s="33" t="s">
        <v>133</v>
      </c>
      <c r="C53" s="33" t="s">
        <v>134</v>
      </c>
      <c r="D53" s="33" t="s">
        <v>135</v>
      </c>
      <c r="E53" s="33" t="s">
        <v>43</v>
      </c>
      <c r="F53" s="33">
        <f>+VLOOKUP(E53,scoring!$U$10:$AA$105,7,FALSE)-72*4</f>
        <v>-11</v>
      </c>
      <c r="G53" s="33" t="s">
        <v>75</v>
      </c>
      <c r="H53" s="33">
        <f>+VLOOKUP(G53,scoring!$U$10:$AA$105,7,FALSE)-72*4</f>
        <v>6</v>
      </c>
      <c r="I53" s="33" t="s">
        <v>75</v>
      </c>
      <c r="J53" s="33">
        <f>+VLOOKUP(I53,scoring!$U$10:$AA$105,7,FALSE)-72*4</f>
        <v>6</v>
      </c>
      <c r="K53" s="33" t="s">
        <v>42</v>
      </c>
      <c r="L53" s="33">
        <f>+VLOOKUP(K53,scoring!$U$10:$AA$105,7,FALSE)-72*4</f>
        <v>4</v>
      </c>
      <c r="M53" s="33" t="s">
        <v>42</v>
      </c>
      <c r="N53" s="33">
        <f>+VLOOKUP(M53,scoring!$U$10:$AA$105,7,FALSE)-72*4</f>
        <v>4</v>
      </c>
      <c r="O53" s="33" t="s">
        <v>51</v>
      </c>
      <c r="P53" s="33">
        <f>+VLOOKUP(O53,scoring!$U$10:$AA$105,7,FALSE)-72*4</f>
        <v>-11</v>
      </c>
      <c r="Q53" s="33" t="s">
        <v>26</v>
      </c>
      <c r="R53" s="33">
        <f>+VLOOKUP(Q53,scoring!$U$10:$AA$105,7,FALSE)-72*4</f>
        <v>39</v>
      </c>
      <c r="S53" s="33" t="s">
        <v>26</v>
      </c>
      <c r="T53" s="33">
        <f>+VLOOKUP(S53,scoring!$U$10:$AA$105,7,FALSE)-72*4</f>
        <v>39</v>
      </c>
      <c r="U53" s="33">
        <f>IFERROR(SMALL(E53:T53,1)+SMALL(E53:T53,2)+SMALL(E53:T53,3),IFERROR(SMALL(E53:T53,1)+SMALL(E53:T53,2),IFERROR(SMALL(E53:T53,1),"-")))</f>
        <v>-18</v>
      </c>
    </row>
    <row r="54" spans="1:21" ht="16" x14ac:dyDescent="0.2">
      <c r="A54" s="32">
        <v>8</v>
      </c>
      <c r="B54" s="33" t="s">
        <v>113</v>
      </c>
      <c r="C54" s="33" t="s">
        <v>65</v>
      </c>
      <c r="D54" s="33" t="s">
        <v>66</v>
      </c>
      <c r="E54" s="33" t="s">
        <v>27</v>
      </c>
      <c r="F54" s="33">
        <f>+VLOOKUP(E54,scoring!$U$10:$AA$105,7,FALSE)-72*4</f>
        <v>-5</v>
      </c>
      <c r="G54" s="33" t="s">
        <v>27</v>
      </c>
      <c r="H54" s="33">
        <f>+VLOOKUP(G54,scoring!$U$10:$AA$105,7,FALSE)-72*4</f>
        <v>-5</v>
      </c>
      <c r="I54" s="33" t="s">
        <v>47</v>
      </c>
      <c r="J54" s="33">
        <f>+VLOOKUP(I54,scoring!$U$10:$AA$105,7,FALSE)-72*4</f>
        <v>-7</v>
      </c>
      <c r="K54" s="33" t="s">
        <v>54</v>
      </c>
      <c r="L54" s="33">
        <f>+VLOOKUP(K54,scoring!$U$10:$AA$105,7,FALSE)-72*4</f>
        <v>4</v>
      </c>
      <c r="M54" s="33" t="s">
        <v>38</v>
      </c>
      <c r="N54" s="33">
        <f>+VLOOKUP(M54,scoring!$U$10:$AA$105,7,FALSE)-72*4</f>
        <v>-5</v>
      </c>
      <c r="O54" s="33" t="s">
        <v>94</v>
      </c>
      <c r="P54" s="33">
        <f>+VLOOKUP(O54,scoring!$U$10:$AA$105,7,FALSE)-72*4</f>
        <v>26</v>
      </c>
      <c r="Q54" s="33" t="s">
        <v>26</v>
      </c>
      <c r="R54" s="33">
        <f>+VLOOKUP(Q54,scoring!$U$10:$AA$105,7,FALSE)-72*4</f>
        <v>39</v>
      </c>
      <c r="S54" s="33" t="s">
        <v>26</v>
      </c>
      <c r="T54" s="33">
        <f>+VLOOKUP(S54,scoring!$U$10:$AA$105,7,FALSE)-72*4</f>
        <v>39</v>
      </c>
      <c r="U54" s="33">
        <f>IFERROR(SMALL(E54:T54,1)+SMALL(E54:T54,2)+SMALL(E54:T54,3),IFERROR(SMALL(E54:T54,1)+SMALL(E54:T54,2),IFERROR(SMALL(E54:T54,1),"-")))</f>
        <v>-17</v>
      </c>
    </row>
    <row r="55" spans="1:21" ht="16" x14ac:dyDescent="0.2">
      <c r="A55" s="32">
        <v>12</v>
      </c>
      <c r="B55" s="33" t="s">
        <v>122</v>
      </c>
      <c r="C55" s="33" t="s">
        <v>123</v>
      </c>
      <c r="D55" s="33" t="s">
        <v>87</v>
      </c>
      <c r="E55" s="33" t="s">
        <v>15</v>
      </c>
      <c r="F55" s="33">
        <f>+VLOOKUP(E55,scoring!$U$10:$AA$105,7,FALSE)-72*4</f>
        <v>-6</v>
      </c>
      <c r="G55" s="33" t="s">
        <v>34</v>
      </c>
      <c r="H55" s="33">
        <f>+VLOOKUP(G55,scoring!$U$10:$AA$105,7,FALSE)-72*4</f>
        <v>-3</v>
      </c>
      <c r="I55" s="33" t="s">
        <v>32</v>
      </c>
      <c r="J55" s="33">
        <f>+VLOOKUP(I55,scoring!$U$10:$AA$105,7,FALSE)-72*4</f>
        <v>-2</v>
      </c>
      <c r="K55" s="33" t="s">
        <v>47</v>
      </c>
      <c r="L55" s="33">
        <f>+VLOOKUP(K55,scoring!$U$10:$AA$105,7,FALSE)-72*4</f>
        <v>-7</v>
      </c>
      <c r="M55" s="33" t="s">
        <v>22</v>
      </c>
      <c r="N55" s="33">
        <f>+VLOOKUP(M55,scoring!$U$10:$AA$105,7,FALSE)-72*4</f>
        <v>25</v>
      </c>
      <c r="O55" s="33" t="s">
        <v>76</v>
      </c>
      <c r="P55" s="33">
        <f>+VLOOKUP(O55,scoring!$U$10:$AA$105,7,FALSE)-72*4</f>
        <v>38</v>
      </c>
      <c r="Q55" s="33" t="s">
        <v>26</v>
      </c>
      <c r="R55" s="33">
        <f>+VLOOKUP(Q55,scoring!$U$10:$AA$105,7,FALSE)-72*4</f>
        <v>39</v>
      </c>
      <c r="S55" s="33" t="s">
        <v>26</v>
      </c>
      <c r="T55" s="33">
        <f>+VLOOKUP(S55,scoring!$U$10:$AA$105,7,FALSE)-72*4</f>
        <v>39</v>
      </c>
      <c r="U55" s="33">
        <f>IFERROR(SMALL(E55:T55,1)+SMALL(E55:T55,2)+SMALL(E55:T55,3),IFERROR(SMALL(E55:T55,1)+SMALL(E55:T55,2),IFERROR(SMALL(E55:T55,1),"-")))</f>
        <v>-16</v>
      </c>
    </row>
    <row r="56" spans="1:21" ht="16" x14ac:dyDescent="0.2">
      <c r="A56" s="32">
        <v>18</v>
      </c>
      <c r="B56" s="33" t="s">
        <v>131</v>
      </c>
      <c r="C56" s="33" t="s">
        <v>45</v>
      </c>
      <c r="D56" s="33" t="s">
        <v>46</v>
      </c>
      <c r="E56" s="33" t="s">
        <v>34</v>
      </c>
      <c r="F56" s="33">
        <f>+VLOOKUP(E56,scoring!$U$10:$AA$105,7,FALSE)-72*4</f>
        <v>-3</v>
      </c>
      <c r="G56" s="33" t="s">
        <v>47</v>
      </c>
      <c r="H56" s="33">
        <f>+VLOOKUP(G56,scoring!$U$10:$AA$105,7,FALSE)-72*4</f>
        <v>-7</v>
      </c>
      <c r="I56" s="33" t="s">
        <v>27</v>
      </c>
      <c r="J56" s="33">
        <f>+VLOOKUP(I56,scoring!$U$10:$AA$105,7,FALSE)-72*4</f>
        <v>-5</v>
      </c>
      <c r="K56" s="33" t="s">
        <v>54</v>
      </c>
      <c r="L56" s="33">
        <f>+VLOOKUP(K56,scoring!$U$10:$AA$105,7,FALSE)-72*4</f>
        <v>4</v>
      </c>
      <c r="M56" s="33" t="s">
        <v>21</v>
      </c>
      <c r="N56" s="33">
        <f>+VLOOKUP(M56,scoring!$U$10:$AA$105,7,FALSE)-72*4</f>
        <v>29</v>
      </c>
      <c r="O56" s="33" t="s">
        <v>31</v>
      </c>
      <c r="P56" s="33">
        <f>+VLOOKUP(O56,scoring!$U$10:$AA$105,7,FALSE)-72*4</f>
        <v>3</v>
      </c>
      <c r="Q56" s="33" t="s">
        <v>26</v>
      </c>
      <c r="R56" s="33">
        <f>+VLOOKUP(Q56,scoring!$U$10:$AA$105,7,FALSE)-72*4</f>
        <v>39</v>
      </c>
      <c r="S56" s="33" t="s">
        <v>26</v>
      </c>
      <c r="T56" s="33">
        <f>+VLOOKUP(S56,scoring!$U$10:$AA$105,7,FALSE)-72*4</f>
        <v>39</v>
      </c>
      <c r="U56" s="33">
        <f>IFERROR(SMALL(E56:T56,1)+SMALL(E56:T56,2)+SMALL(E56:T56,3),IFERROR(SMALL(E56:T56,1)+SMALL(E56:T56,2),IFERROR(SMALL(E56:T56,1),"-")))</f>
        <v>-15</v>
      </c>
    </row>
    <row r="57" spans="1:21" ht="16" x14ac:dyDescent="0.2">
      <c r="A57" s="32">
        <v>10</v>
      </c>
      <c r="B57" s="33" t="s">
        <v>119</v>
      </c>
      <c r="C57" s="33" t="s">
        <v>117</v>
      </c>
      <c r="D57" s="33" t="s">
        <v>118</v>
      </c>
      <c r="E57" s="33" t="s">
        <v>43</v>
      </c>
      <c r="F57" s="33">
        <f>+VLOOKUP(E57,scoring!$U$10:$AA$105,7,FALSE)-72*4</f>
        <v>-11</v>
      </c>
      <c r="G57" s="33" t="s">
        <v>58</v>
      </c>
      <c r="H57" s="33">
        <f>+VLOOKUP(G57,scoring!$U$10:$AA$105,7,FALSE)-72*4</f>
        <v>-2</v>
      </c>
      <c r="I57" s="33" t="s">
        <v>32</v>
      </c>
      <c r="J57" s="33">
        <f>+VLOOKUP(I57,scoring!$U$10:$AA$105,7,FALSE)-72*4</f>
        <v>-2</v>
      </c>
      <c r="K57" s="33" t="s">
        <v>75</v>
      </c>
      <c r="L57" s="33">
        <f>+VLOOKUP(K57,scoring!$U$10:$AA$105,7,FALSE)-72*4</f>
        <v>6</v>
      </c>
      <c r="M57" s="33" t="s">
        <v>178</v>
      </c>
      <c r="N57" s="33">
        <f>+VLOOKUP(M57,scoring!$U$10:$AA$105,7,FALSE)-72*4</f>
        <v>31</v>
      </c>
      <c r="O57" s="33" t="s">
        <v>26</v>
      </c>
      <c r="P57" s="33">
        <f>+VLOOKUP(O57,scoring!$U$10:$AA$105,7,FALSE)-72*4</f>
        <v>39</v>
      </c>
      <c r="Q57" s="33" t="s">
        <v>26</v>
      </c>
      <c r="R57" s="33">
        <f>+VLOOKUP(Q57,scoring!$U$10:$AA$105,7,FALSE)-72*4</f>
        <v>39</v>
      </c>
      <c r="S57" s="33" t="s">
        <v>26</v>
      </c>
      <c r="T57" s="33">
        <f>+VLOOKUP(S57,scoring!$U$10:$AA$105,7,FALSE)-72*4</f>
        <v>39</v>
      </c>
      <c r="U57" s="33">
        <f>IFERROR(SMALL(E57:T57,1)+SMALL(E57:T57,2)+SMALL(E57:T57,3),IFERROR(SMALL(E57:T57,1)+SMALL(E57:T57,2),IFERROR(SMALL(E57:T57,1),"-")))</f>
        <v>-15</v>
      </c>
    </row>
    <row r="58" spans="1:21" ht="16" x14ac:dyDescent="0.2">
      <c r="A58" s="32">
        <v>7</v>
      </c>
      <c r="B58" s="33" t="s">
        <v>112</v>
      </c>
      <c r="C58" s="33" t="s">
        <v>56</v>
      </c>
      <c r="D58" s="33" t="s">
        <v>57</v>
      </c>
      <c r="E58" s="33" t="s">
        <v>34</v>
      </c>
      <c r="F58" s="33">
        <f>+VLOOKUP(E58,scoring!$U$10:$AA$105,7,FALSE)-72*4</f>
        <v>-3</v>
      </c>
      <c r="G58" s="33" t="s">
        <v>34</v>
      </c>
      <c r="H58" s="33">
        <f>+VLOOKUP(G58,scoring!$U$10:$AA$105,7,FALSE)-72*4</f>
        <v>-3</v>
      </c>
      <c r="I58" s="33" t="s">
        <v>34</v>
      </c>
      <c r="J58" s="33">
        <f>+VLOOKUP(I58,scoring!$U$10:$AA$105,7,FALSE)-72*4</f>
        <v>-3</v>
      </c>
      <c r="K58" s="33" t="s">
        <v>29</v>
      </c>
      <c r="L58" s="33">
        <f>+VLOOKUP(K58,scoring!$U$10:$AA$105,7,FALSE)-72*4</f>
        <v>-9</v>
      </c>
      <c r="M58" s="33" t="s">
        <v>170</v>
      </c>
      <c r="N58" s="33">
        <f>+VLOOKUP(M58,scoring!$U$10:$AA$105,7,FALSE)-72*4</f>
        <v>1</v>
      </c>
      <c r="O58" s="33" t="s">
        <v>24</v>
      </c>
      <c r="P58" s="33">
        <f>+VLOOKUP(O58,scoring!$U$10:$AA$105,7,FALSE)-72*4</f>
        <v>28</v>
      </c>
      <c r="Q58" s="33" t="s">
        <v>97</v>
      </c>
      <c r="R58" s="33">
        <f>+VLOOKUP(Q58,scoring!$U$10:$AA$105,7,FALSE)-72*4</f>
        <v>9</v>
      </c>
      <c r="S58" s="33" t="s">
        <v>175</v>
      </c>
      <c r="T58" s="33">
        <f>+VLOOKUP(S58,scoring!$U$10:$AA$105,7,FALSE)-72*4</f>
        <v>1</v>
      </c>
      <c r="U58" s="33">
        <f>IFERROR(SMALL(E58:T58,1)+SMALL(E58:T58,2)+SMALL(E58:T58,3),IFERROR(SMALL(E58:T58,1)+SMALL(E58:T58,2),IFERROR(SMALL(E58:T58,1),"-")))</f>
        <v>-15</v>
      </c>
    </row>
    <row r="59" spans="1:21" ht="16" x14ac:dyDescent="0.2">
      <c r="A59" s="32">
        <v>29</v>
      </c>
      <c r="B59" s="33" t="s">
        <v>149</v>
      </c>
      <c r="C59" s="33" t="s">
        <v>150</v>
      </c>
      <c r="D59" s="33" t="s">
        <v>151</v>
      </c>
      <c r="E59" s="33" t="s">
        <v>47</v>
      </c>
      <c r="F59" s="33">
        <f>+VLOOKUP(E59,scoring!$U$10:$AA$105,7,FALSE)-72*4</f>
        <v>-7</v>
      </c>
      <c r="G59" s="33" t="s">
        <v>47</v>
      </c>
      <c r="H59" s="33">
        <f>+VLOOKUP(G59,scoring!$U$10:$AA$105,7,FALSE)-72*4</f>
        <v>-7</v>
      </c>
      <c r="I59" s="33" t="s">
        <v>14</v>
      </c>
      <c r="J59" s="33">
        <f>+VLOOKUP(I59,scoring!$U$10:$AA$105,7,FALSE)-72*4</f>
        <v>0</v>
      </c>
      <c r="K59" s="33" t="s">
        <v>14</v>
      </c>
      <c r="L59" s="33">
        <f>+VLOOKUP(K59,scoring!$U$10:$AA$105,7,FALSE)-72*4</f>
        <v>0</v>
      </c>
      <c r="M59" s="33" t="s">
        <v>165</v>
      </c>
      <c r="N59" s="33">
        <f>+VLOOKUP(M59,scoring!$U$10:$AA$105,7,FALSE)-72*4</f>
        <v>27</v>
      </c>
      <c r="O59" s="33" t="s">
        <v>165</v>
      </c>
      <c r="P59" s="33">
        <f>+VLOOKUP(O59,scoring!$U$10:$AA$105,7,FALSE)-72*4</f>
        <v>27</v>
      </c>
      <c r="Q59" s="33" t="s">
        <v>26</v>
      </c>
      <c r="R59" s="33">
        <f>+VLOOKUP(Q59,scoring!$U$10:$AA$105,7,FALSE)-72*4</f>
        <v>39</v>
      </c>
      <c r="S59" s="33" t="s">
        <v>26</v>
      </c>
      <c r="T59" s="33">
        <f>+VLOOKUP(S59,scoring!$U$10:$AA$105,7,FALSE)-72*4</f>
        <v>39</v>
      </c>
      <c r="U59" s="33">
        <f>IFERROR(SMALL(E59:T59,1)+SMALL(E59:T59,2)+SMALL(E59:T59,3),IFERROR(SMALL(E59:T59,1)+SMALL(E59:T59,2),IFERROR(SMALL(E59:T59,1),"-")))</f>
        <v>-14</v>
      </c>
    </row>
    <row r="60" spans="1:21" ht="16" x14ac:dyDescent="0.2">
      <c r="A60" s="32">
        <v>22</v>
      </c>
      <c r="B60" s="33" t="s">
        <v>138</v>
      </c>
      <c r="C60" s="33" t="s">
        <v>98</v>
      </c>
      <c r="D60" s="33" t="s">
        <v>99</v>
      </c>
      <c r="E60" s="33" t="s">
        <v>34</v>
      </c>
      <c r="F60" s="33">
        <f>+VLOOKUP(E60,scoring!$U$10:$AA$105,7,FALSE)-72*4</f>
        <v>-3</v>
      </c>
      <c r="G60" s="33" t="s">
        <v>37</v>
      </c>
      <c r="H60" s="33">
        <f>+VLOOKUP(G60,scoring!$U$10:$AA$105,7,FALSE)-72*4</f>
        <v>-2</v>
      </c>
      <c r="I60" s="33" t="s">
        <v>54</v>
      </c>
      <c r="J60" s="33">
        <f>+VLOOKUP(I60,scoring!$U$10:$AA$105,7,FALSE)-72*4</f>
        <v>4</v>
      </c>
      <c r="K60" s="33" t="s">
        <v>44</v>
      </c>
      <c r="L60" s="33">
        <f>+VLOOKUP(K60,scoring!$U$10:$AA$105,7,FALSE)-72*4</f>
        <v>2</v>
      </c>
      <c r="M60" s="33" t="s">
        <v>75</v>
      </c>
      <c r="N60" s="33">
        <f>+VLOOKUP(M60,scoring!$U$10:$AA$105,7,FALSE)-72*4</f>
        <v>6</v>
      </c>
      <c r="O60" s="33" t="s">
        <v>38</v>
      </c>
      <c r="P60" s="33">
        <f>+VLOOKUP(O60,scoring!$U$10:$AA$105,7,FALSE)-72*4</f>
        <v>-5</v>
      </c>
      <c r="Q60" s="33" t="s">
        <v>22</v>
      </c>
      <c r="R60" s="33">
        <f>+VLOOKUP(Q60,scoring!$U$10:$AA$105,7,FALSE)-72*4</f>
        <v>25</v>
      </c>
      <c r="S60" s="33" t="s">
        <v>50</v>
      </c>
      <c r="T60" s="33">
        <f>+VLOOKUP(S60,scoring!$U$10:$AA$105,7,FALSE)-72*4</f>
        <v>-5</v>
      </c>
      <c r="U60" s="33">
        <f>IFERROR(SMALL(E60:T60,1)+SMALL(E60:T60,2)+SMALL(E60:T60,3),IFERROR(SMALL(E60:T60,1)+SMALL(E60:T60,2),IFERROR(SMALL(E60:T60,1),"-")))</f>
        <v>-13</v>
      </c>
    </row>
    <row r="61" spans="1:21" ht="16" x14ac:dyDescent="0.2">
      <c r="A61" s="32">
        <v>39</v>
      </c>
      <c r="B61" s="33" t="s">
        <v>161</v>
      </c>
      <c r="C61" s="33" t="s">
        <v>70</v>
      </c>
      <c r="D61" s="33" t="s">
        <v>71</v>
      </c>
      <c r="E61" s="33" t="s">
        <v>34</v>
      </c>
      <c r="F61" s="33">
        <f>+VLOOKUP(E61,scoring!$U$10:$AA$105,7,FALSE)-72*4</f>
        <v>-3</v>
      </c>
      <c r="G61" s="33" t="s">
        <v>27</v>
      </c>
      <c r="H61" s="33">
        <f>+VLOOKUP(G61,scoring!$U$10:$AA$105,7,FALSE)-72*4</f>
        <v>-5</v>
      </c>
      <c r="I61" s="33" t="s">
        <v>176</v>
      </c>
      <c r="J61" s="33">
        <f>+VLOOKUP(I61,scoring!$U$10:$AA$105,7,FALSE)-72*4</f>
        <v>-3</v>
      </c>
      <c r="K61" s="33" t="s">
        <v>164</v>
      </c>
      <c r="L61" s="33">
        <f>+VLOOKUP(K61,scoring!$U$10:$AA$105,7,FALSE)-72*4</f>
        <v>-3</v>
      </c>
      <c r="M61" s="33" t="s">
        <v>75</v>
      </c>
      <c r="N61" s="33">
        <f>+VLOOKUP(M61,scoring!$U$10:$AA$105,7,FALSE)-72*4</f>
        <v>6</v>
      </c>
      <c r="O61" s="33" t="s">
        <v>54</v>
      </c>
      <c r="P61" s="33">
        <f>+VLOOKUP(O61,scoring!$U$10:$AA$105,7,FALSE)-72*4</f>
        <v>4</v>
      </c>
      <c r="Q61" s="33" t="s">
        <v>55</v>
      </c>
      <c r="R61" s="33">
        <f>+VLOOKUP(Q61,scoring!$U$10:$AA$105,7,FALSE)-72*4</f>
        <v>2</v>
      </c>
      <c r="S61" s="33" t="s">
        <v>38</v>
      </c>
      <c r="T61" s="33">
        <f>+VLOOKUP(S61,scoring!$U$10:$AA$105,7,FALSE)-72*4</f>
        <v>-5</v>
      </c>
      <c r="U61" s="33">
        <f>IFERROR(SMALL(E61:T61,1)+SMALL(E61:T61,2)+SMALL(E61:T61,3),IFERROR(SMALL(E61:T61,1)+SMALL(E61:T61,2),IFERROR(SMALL(E61:T61,1),"-")))</f>
        <v>-13</v>
      </c>
    </row>
    <row r="62" spans="1:21" ht="16" x14ac:dyDescent="0.2">
      <c r="A62" s="32">
        <v>28</v>
      </c>
      <c r="B62" s="33" t="s">
        <v>148</v>
      </c>
      <c r="C62" s="33" t="s">
        <v>82</v>
      </c>
      <c r="D62" s="33" t="s">
        <v>83</v>
      </c>
      <c r="E62" s="33" t="s">
        <v>34</v>
      </c>
      <c r="F62" s="33">
        <f>+VLOOKUP(E62,scoring!$U$10:$AA$105,7,FALSE)-72*4</f>
        <v>-3</v>
      </c>
      <c r="G62" s="33" t="s">
        <v>34</v>
      </c>
      <c r="H62" s="33">
        <f>+VLOOKUP(G62,scoring!$U$10:$AA$105,7,FALSE)-72*4</f>
        <v>-3</v>
      </c>
      <c r="I62" s="33" t="s">
        <v>47</v>
      </c>
      <c r="J62" s="33">
        <f>+VLOOKUP(I62,scoring!$U$10:$AA$105,7,FALSE)-72*4</f>
        <v>-7</v>
      </c>
      <c r="K62" s="33" t="s">
        <v>44</v>
      </c>
      <c r="L62" s="33">
        <f>+VLOOKUP(K62,scoring!$U$10:$AA$105,7,FALSE)-72*4</f>
        <v>2</v>
      </c>
      <c r="M62" s="33" t="s">
        <v>94</v>
      </c>
      <c r="N62" s="33">
        <f>+VLOOKUP(M62,scoring!$U$10:$AA$105,7,FALSE)-72*4</f>
        <v>26</v>
      </c>
      <c r="O62" s="33" t="s">
        <v>178</v>
      </c>
      <c r="P62" s="33">
        <f>+VLOOKUP(O62,scoring!$U$10:$AA$105,7,FALSE)-72*4</f>
        <v>31</v>
      </c>
      <c r="Q62" s="33" t="s">
        <v>26</v>
      </c>
      <c r="R62" s="33">
        <f>+VLOOKUP(Q62,scoring!$U$10:$AA$105,7,FALSE)-72*4</f>
        <v>39</v>
      </c>
      <c r="S62" s="33" t="s">
        <v>26</v>
      </c>
      <c r="T62" s="33">
        <f>+VLOOKUP(S62,scoring!$U$10:$AA$105,7,FALSE)-72*4</f>
        <v>39</v>
      </c>
      <c r="U62" s="33">
        <f>IFERROR(SMALL(E62:T62,1)+SMALL(E62:T62,2)+SMALL(E62:T62,3),IFERROR(SMALL(E62:T62,1)+SMALL(E62:T62,2),IFERROR(SMALL(E62:T62,1),"-")))</f>
        <v>-13</v>
      </c>
    </row>
    <row r="63" spans="1:21" ht="16" x14ac:dyDescent="0.2">
      <c r="A63" s="32">
        <v>30</v>
      </c>
      <c r="B63" s="33" t="s">
        <v>152</v>
      </c>
      <c r="C63" s="33" t="s">
        <v>52</v>
      </c>
      <c r="D63" s="33" t="s">
        <v>53</v>
      </c>
      <c r="E63" s="33" t="s">
        <v>16</v>
      </c>
      <c r="F63" s="33">
        <f>+VLOOKUP(E63,scoring!$U$10:$AA$105,7,FALSE)-72*4</f>
        <v>24</v>
      </c>
      <c r="G63" s="33" t="s">
        <v>180</v>
      </c>
      <c r="H63" s="33">
        <f>+VLOOKUP(G63,scoring!$U$10:$AA$105,7,FALSE)-72*4</f>
        <v>-5</v>
      </c>
      <c r="I63" s="33" t="s">
        <v>54</v>
      </c>
      <c r="J63" s="33">
        <f>+VLOOKUP(I63,scoring!$U$10:$AA$105,7,FALSE)-72*4</f>
        <v>4</v>
      </c>
      <c r="K63" s="33" t="s">
        <v>32</v>
      </c>
      <c r="L63" s="33">
        <f>+VLOOKUP(K63,scoring!$U$10:$AA$105,7,FALSE)-72*4</f>
        <v>-2</v>
      </c>
      <c r="M63" s="33" t="s">
        <v>32</v>
      </c>
      <c r="N63" s="33">
        <f>+VLOOKUP(M63,scoring!$U$10:$AA$105,7,FALSE)-72*4</f>
        <v>-2</v>
      </c>
      <c r="O63" s="33" t="s">
        <v>94</v>
      </c>
      <c r="P63" s="33">
        <f>+VLOOKUP(O63,scoring!$U$10:$AA$105,7,FALSE)-72*4</f>
        <v>26</v>
      </c>
      <c r="Q63" s="33" t="s">
        <v>15</v>
      </c>
      <c r="R63" s="33">
        <f>+VLOOKUP(Q63,scoring!$U$10:$AA$105,7,FALSE)-72*4</f>
        <v>-6</v>
      </c>
      <c r="S63" s="33" t="s">
        <v>33</v>
      </c>
      <c r="T63" s="33">
        <f>+VLOOKUP(S63,scoring!$U$10:$AA$105,7,FALSE)-72*4</f>
        <v>2</v>
      </c>
      <c r="U63" s="33">
        <f>IFERROR(SMALL(E63:T63,1)+SMALL(E63:T63,2)+SMALL(E63:T63,3),IFERROR(SMALL(E63:T63,1)+SMALL(E63:T63,2),IFERROR(SMALL(E63:T63,1),"-")))</f>
        <v>-13</v>
      </c>
    </row>
    <row r="64" spans="1:21" ht="16" x14ac:dyDescent="0.2">
      <c r="A64" s="32">
        <v>6</v>
      </c>
      <c r="B64" s="33" t="s">
        <v>111</v>
      </c>
      <c r="C64" s="33" t="s">
        <v>84</v>
      </c>
      <c r="D64" s="33" t="s">
        <v>85</v>
      </c>
      <c r="E64" s="33" t="s">
        <v>32</v>
      </c>
      <c r="F64" s="33">
        <f>+VLOOKUP(E64,scoring!$U$10:$AA$105,7,FALSE)-72*4</f>
        <v>-2</v>
      </c>
      <c r="G64" s="33" t="s">
        <v>32</v>
      </c>
      <c r="H64" s="33">
        <f>+VLOOKUP(G64,scoring!$U$10:$AA$105,7,FALSE)-72*4</f>
        <v>-2</v>
      </c>
      <c r="I64" s="33" t="s">
        <v>74</v>
      </c>
      <c r="J64" s="33">
        <f>+VLOOKUP(I64,scoring!$U$10:$AA$105,7,FALSE)-72*4</f>
        <v>-3</v>
      </c>
      <c r="K64" s="33" t="s">
        <v>74</v>
      </c>
      <c r="L64" s="33">
        <f>+VLOOKUP(K64,scoring!$U$10:$AA$105,7,FALSE)-72*4</f>
        <v>-3</v>
      </c>
      <c r="M64" s="33" t="s">
        <v>37</v>
      </c>
      <c r="N64" s="33">
        <f>+VLOOKUP(M64,scoring!$U$10:$AA$105,7,FALSE)-72*4</f>
        <v>-2</v>
      </c>
      <c r="O64" s="33" t="s">
        <v>37</v>
      </c>
      <c r="P64" s="33">
        <f>+VLOOKUP(O64,scoring!$U$10:$AA$105,7,FALSE)-72*4</f>
        <v>-2</v>
      </c>
      <c r="Q64" s="33" t="s">
        <v>50</v>
      </c>
      <c r="R64" s="33">
        <f>+VLOOKUP(Q64,scoring!$U$10:$AA$105,7,FALSE)-72*4</f>
        <v>-5</v>
      </c>
      <c r="S64" s="33" t="s">
        <v>50</v>
      </c>
      <c r="T64" s="33">
        <f>+VLOOKUP(S64,scoring!$U$10:$AA$105,7,FALSE)-72*4</f>
        <v>-5</v>
      </c>
      <c r="U64" s="33">
        <f>IFERROR(SMALL(E64:T64,1)+SMALL(E64:T64,2)+SMALL(E64:T64,3),IFERROR(SMALL(E64:T64,1)+SMALL(E64:T64,2),IFERROR(SMALL(E64:T64,1),"-")))</f>
        <v>-13</v>
      </c>
    </row>
    <row r="65" spans="1:21" ht="16" x14ac:dyDescent="0.2">
      <c r="A65" s="32">
        <v>34</v>
      </c>
      <c r="B65" s="33" t="s">
        <v>162</v>
      </c>
      <c r="C65" s="33" t="s">
        <v>156</v>
      </c>
      <c r="D65" s="33" t="s">
        <v>99</v>
      </c>
      <c r="E65" s="33" t="s">
        <v>69</v>
      </c>
      <c r="F65" s="33">
        <f>+VLOOKUP(E65,scoring!$U$10:$AA$105,7,FALSE)-72*4</f>
        <v>-3</v>
      </c>
      <c r="G65" s="33" t="s">
        <v>75</v>
      </c>
      <c r="H65" s="33">
        <f>+VLOOKUP(G65,scoring!$U$10:$AA$105,7,FALSE)-72*4</f>
        <v>6</v>
      </c>
      <c r="I65" s="33" t="s">
        <v>50</v>
      </c>
      <c r="J65" s="33">
        <f>+VLOOKUP(I65,scoring!$U$10:$AA$105,7,FALSE)-72*4</f>
        <v>-5</v>
      </c>
      <c r="K65" s="33" t="s">
        <v>27</v>
      </c>
      <c r="L65" s="33">
        <f>+VLOOKUP(K65,scoring!$U$10:$AA$105,7,FALSE)-72*4</f>
        <v>-5</v>
      </c>
      <c r="M65" s="33" t="s">
        <v>22</v>
      </c>
      <c r="N65" s="33">
        <f>+VLOOKUP(M65,scoring!$U$10:$AA$105,7,FALSE)-72*4</f>
        <v>25</v>
      </c>
      <c r="O65" s="33" t="s">
        <v>32</v>
      </c>
      <c r="P65" s="33">
        <f>+VLOOKUP(O65,scoring!$U$10:$AA$105,7,FALSE)-72*4</f>
        <v>-2</v>
      </c>
      <c r="Q65" s="33" t="s">
        <v>28</v>
      </c>
      <c r="R65" s="33">
        <f>+VLOOKUP(Q65,scoring!$U$10:$AA$105,7,FALSE)-72*4</f>
        <v>0</v>
      </c>
      <c r="S65" s="33" t="s">
        <v>168</v>
      </c>
      <c r="T65" s="33">
        <f>+VLOOKUP(S65,scoring!$U$10:$AA$105,7,FALSE)-72*4</f>
        <v>26</v>
      </c>
      <c r="U65" s="33">
        <f>IFERROR(SMALL(E65:T65,1)+SMALL(E65:T65,2)+SMALL(E65:T65,3),IFERROR(SMALL(E65:T65,1)+SMALL(E65:T65,2),IFERROR(SMALL(E65:T65,1),"-")))</f>
        <v>-13</v>
      </c>
    </row>
    <row r="66" spans="1:21" ht="16" x14ac:dyDescent="0.2">
      <c r="A66" s="32">
        <v>4</v>
      </c>
      <c r="B66" s="33" t="s">
        <v>110</v>
      </c>
      <c r="C66" s="33" t="s">
        <v>77</v>
      </c>
      <c r="D66" s="33" t="s">
        <v>78</v>
      </c>
      <c r="E66" s="33" t="s">
        <v>15</v>
      </c>
      <c r="F66" s="33">
        <f>+VLOOKUP(E66,scoring!$U$10:$AA$105,7,FALSE)-72*4</f>
        <v>-6</v>
      </c>
      <c r="G66" s="33" t="s">
        <v>33</v>
      </c>
      <c r="H66" s="33">
        <f>+VLOOKUP(G66,scoring!$U$10:$AA$105,7,FALSE)-72*4</f>
        <v>2</v>
      </c>
      <c r="I66" s="33" t="s">
        <v>37</v>
      </c>
      <c r="J66" s="33">
        <f>+VLOOKUP(I66,scoring!$U$10:$AA$105,7,FALSE)-72*4</f>
        <v>-2</v>
      </c>
      <c r="K66" s="33" t="s">
        <v>41</v>
      </c>
      <c r="L66" s="33">
        <f>+VLOOKUP(K66,scoring!$U$10:$AA$105,7,FALSE)-72*4</f>
        <v>24</v>
      </c>
      <c r="M66" s="33" t="s">
        <v>42</v>
      </c>
      <c r="N66" s="33">
        <f>+VLOOKUP(M66,scoring!$U$10:$AA$105,7,FALSE)-72*4</f>
        <v>4</v>
      </c>
      <c r="O66" s="33" t="s">
        <v>42</v>
      </c>
      <c r="P66" s="33">
        <f>+VLOOKUP(O66,scoring!$U$10:$AA$105,7,FALSE)-72*4</f>
        <v>4</v>
      </c>
      <c r="Q66" s="33" t="s">
        <v>38</v>
      </c>
      <c r="R66" s="33">
        <f>+VLOOKUP(Q66,scoring!$U$10:$AA$105,7,FALSE)-72*4</f>
        <v>-5</v>
      </c>
      <c r="S66" s="33" t="s">
        <v>171</v>
      </c>
      <c r="T66" s="33">
        <f>+VLOOKUP(S66,scoring!$U$10:$AA$105,7,FALSE)-72*4</f>
        <v>29</v>
      </c>
      <c r="U66" s="33">
        <f>IFERROR(SMALL(E66:T66,1)+SMALL(E66:T66,2)+SMALL(E66:T66,3),IFERROR(SMALL(E66:T66,1)+SMALL(E66:T66,2),IFERROR(SMALL(E66:T66,1),"-")))</f>
        <v>-13</v>
      </c>
    </row>
    <row r="67" spans="1:21" ht="16" x14ac:dyDescent="0.2">
      <c r="A67" s="32">
        <v>17</v>
      </c>
      <c r="B67" s="33" t="s">
        <v>128</v>
      </c>
      <c r="C67" s="33" t="s">
        <v>129</v>
      </c>
      <c r="D67" s="33" t="s">
        <v>130</v>
      </c>
      <c r="E67" s="33" t="s">
        <v>15</v>
      </c>
      <c r="F67" s="33">
        <f>+VLOOKUP(E67,scoring!$U$10:$AA$105,7,FALSE)-72*4</f>
        <v>-6</v>
      </c>
      <c r="G67" s="33" t="s">
        <v>54</v>
      </c>
      <c r="H67" s="33">
        <f>+VLOOKUP(G67,scoring!$U$10:$AA$105,7,FALSE)-72*4</f>
        <v>4</v>
      </c>
      <c r="I67" s="33" t="s">
        <v>26</v>
      </c>
      <c r="J67" s="33">
        <f>+VLOOKUP(I67,scoring!$U$10:$AA$105,7,FALSE)-72*4</f>
        <v>39</v>
      </c>
      <c r="K67" s="33" t="s">
        <v>41</v>
      </c>
      <c r="L67" s="33">
        <f>+VLOOKUP(K67,scoring!$U$10:$AA$105,7,FALSE)-72*4</f>
        <v>24</v>
      </c>
      <c r="M67" s="33" t="s">
        <v>34</v>
      </c>
      <c r="N67" s="33">
        <f>+VLOOKUP(M67,scoring!$U$10:$AA$105,7,FALSE)-72*4</f>
        <v>-3</v>
      </c>
      <c r="O67" s="33" t="s">
        <v>37</v>
      </c>
      <c r="P67" s="33">
        <f>+VLOOKUP(O67,scoring!$U$10:$AA$105,7,FALSE)-72*4</f>
        <v>-2</v>
      </c>
      <c r="Q67" s="33" t="s">
        <v>167</v>
      </c>
      <c r="R67" s="33">
        <f>+VLOOKUP(Q67,scoring!$U$10:$AA$105,7,FALSE)-72*4</f>
        <v>7</v>
      </c>
      <c r="S67" s="33" t="s">
        <v>26</v>
      </c>
      <c r="T67" s="33">
        <f>+VLOOKUP(S67,scoring!$U$10:$AA$105,7,FALSE)-72*4</f>
        <v>39</v>
      </c>
      <c r="U67" s="33">
        <f>IFERROR(SMALL(E67:T67,1)+SMALL(E67:T67,2)+SMALL(E67:T67,3),IFERROR(SMALL(E67:T67,1)+SMALL(E67:T67,2),IFERROR(SMALL(E67:T67,1),"-")))</f>
        <v>-11</v>
      </c>
    </row>
    <row r="68" spans="1:21" ht="16" x14ac:dyDescent="0.2">
      <c r="A68" s="32">
        <v>31</v>
      </c>
      <c r="B68" s="33" t="s">
        <v>91</v>
      </c>
      <c r="C68" s="33" t="s">
        <v>92</v>
      </c>
      <c r="D68" s="33" t="s">
        <v>93</v>
      </c>
      <c r="E68" s="33" t="s">
        <v>34</v>
      </c>
      <c r="F68" s="33">
        <f>+VLOOKUP(E68,scoring!$U$10:$AA$105,7,FALSE)-72*4</f>
        <v>-3</v>
      </c>
      <c r="G68" s="33" t="s">
        <v>27</v>
      </c>
      <c r="H68" s="33">
        <f>+VLOOKUP(G68,scoring!$U$10:$AA$105,7,FALSE)-72*4</f>
        <v>-5</v>
      </c>
      <c r="I68" s="33" t="s">
        <v>20</v>
      </c>
      <c r="J68" s="33">
        <f>+VLOOKUP(I68,scoring!$U$10:$AA$105,7,FALSE)-72*4</f>
        <v>26</v>
      </c>
      <c r="K68" s="33" t="s">
        <v>74</v>
      </c>
      <c r="L68" s="33">
        <f>+VLOOKUP(K68,scoring!$U$10:$AA$105,7,FALSE)-72*4</f>
        <v>-3</v>
      </c>
      <c r="M68" s="33" t="s">
        <v>37</v>
      </c>
      <c r="N68" s="33">
        <f>+VLOOKUP(M68,scoring!$U$10:$AA$105,7,FALSE)-72*4</f>
        <v>-2</v>
      </c>
      <c r="O68" s="33" t="s">
        <v>179</v>
      </c>
      <c r="P68" s="33">
        <f>+VLOOKUP(O68,scoring!$U$10:$AA$105,7,FALSE)-72*4</f>
        <v>1</v>
      </c>
      <c r="Q68" s="33" t="s">
        <v>26</v>
      </c>
      <c r="R68" s="33">
        <f>+VLOOKUP(Q68,scoring!$U$10:$AA$105,7,FALSE)-72*4</f>
        <v>39</v>
      </c>
      <c r="S68" s="33" t="s">
        <v>26</v>
      </c>
      <c r="T68" s="33">
        <f>+VLOOKUP(S68,scoring!$U$10:$AA$105,7,FALSE)-72*4</f>
        <v>39</v>
      </c>
      <c r="U68" s="33">
        <f>IFERROR(SMALL(E68:T68,1)+SMALL(E68:T68,2)+SMALL(E68:T68,3),IFERROR(SMALL(E68:T68,1)+SMALL(E68:T68,2),IFERROR(SMALL(E68:T68,1),"-")))</f>
        <v>-11</v>
      </c>
    </row>
    <row r="69" spans="1:21" ht="16" x14ac:dyDescent="0.2">
      <c r="A69" s="32">
        <v>1</v>
      </c>
      <c r="B69" s="33" t="s">
        <v>104</v>
      </c>
      <c r="C69" s="33" t="s">
        <v>79</v>
      </c>
      <c r="D69" s="33" t="s">
        <v>105</v>
      </c>
      <c r="E69" s="33" t="s">
        <v>15</v>
      </c>
      <c r="F69" s="33">
        <f>+VLOOKUP(E69,scoring!$U$10:$AA$105,7,FALSE)-72*4</f>
        <v>-6</v>
      </c>
      <c r="G69" s="33" t="s">
        <v>20</v>
      </c>
      <c r="H69" s="33">
        <f>+VLOOKUP(G69,scoring!$U$10:$AA$105,7,FALSE)-72*4</f>
        <v>26</v>
      </c>
      <c r="I69" s="33" t="s">
        <v>58</v>
      </c>
      <c r="J69" s="33">
        <f>+VLOOKUP(I69,scoring!$U$10:$AA$105,7,FALSE)-72*4</f>
        <v>-2</v>
      </c>
      <c r="K69" s="33" t="s">
        <v>44</v>
      </c>
      <c r="L69" s="33">
        <f>+VLOOKUP(K69,scoring!$U$10:$AA$105,7,FALSE)-72*4</f>
        <v>2</v>
      </c>
      <c r="M69" s="33" t="s">
        <v>30</v>
      </c>
      <c r="N69" s="33">
        <f>+VLOOKUP(M69,scoring!$U$10:$AA$105,7,FALSE)-72*4</f>
        <v>25</v>
      </c>
      <c r="O69" s="33" t="s">
        <v>30</v>
      </c>
      <c r="P69" s="33">
        <f>+VLOOKUP(O69,scoring!$U$10:$AA$105,7,FALSE)-72*4</f>
        <v>25</v>
      </c>
      <c r="Q69" s="33" t="s">
        <v>74</v>
      </c>
      <c r="R69" s="33">
        <f>+VLOOKUP(Q69,scoring!$U$10:$AA$105,7,FALSE)-72*4</f>
        <v>-3</v>
      </c>
      <c r="S69" s="33" t="s">
        <v>24</v>
      </c>
      <c r="T69" s="33">
        <f>+VLOOKUP(S69,scoring!$U$10:$AA$105,7,FALSE)-72*4</f>
        <v>28</v>
      </c>
      <c r="U69" s="35">
        <f>IFERROR(SMALL(E69:T69,1)+SMALL(E69:T69,2)+SMALL(E69:T69,3),IFERROR(SMALL(E69:T69,1)+SMALL(E69:T69,2),IFERROR(SMALL(E69:T69,1),"-")))</f>
        <v>-11</v>
      </c>
    </row>
    <row r="70" spans="1:21" ht="16" x14ac:dyDescent="0.2">
      <c r="A70" s="32">
        <v>26</v>
      </c>
      <c r="B70" s="33" t="s">
        <v>145</v>
      </c>
      <c r="C70" s="33" t="s">
        <v>67</v>
      </c>
      <c r="D70" s="33" t="s">
        <v>68</v>
      </c>
      <c r="E70" s="33" t="s">
        <v>69</v>
      </c>
      <c r="F70" s="33">
        <f>+VLOOKUP(E70,scoring!$U$10:$AA$105,7,FALSE)-72*4</f>
        <v>-3</v>
      </c>
      <c r="G70" s="33" t="s">
        <v>15</v>
      </c>
      <c r="H70" s="33">
        <f>+VLOOKUP(G70,scoring!$U$10:$AA$105,7,FALSE)-72*4</f>
        <v>-6</v>
      </c>
      <c r="I70" s="33" t="s">
        <v>37</v>
      </c>
      <c r="J70" s="33">
        <f>+VLOOKUP(I70,scoring!$U$10:$AA$105,7,FALSE)-72*4</f>
        <v>-2</v>
      </c>
      <c r="K70" s="33" t="s">
        <v>20</v>
      </c>
      <c r="L70" s="33">
        <f>+VLOOKUP(K70,scoring!$U$10:$AA$105,7,FALSE)-72*4</f>
        <v>26</v>
      </c>
      <c r="M70" s="33" t="s">
        <v>23</v>
      </c>
      <c r="N70" s="33">
        <f>+VLOOKUP(M70,scoring!$U$10:$AA$105,7,FALSE)-72*4</f>
        <v>26</v>
      </c>
      <c r="O70" s="33" t="s">
        <v>26</v>
      </c>
      <c r="P70" s="33">
        <f>+VLOOKUP(O70,scoring!$U$10:$AA$105,7,FALSE)-72*4</f>
        <v>39</v>
      </c>
      <c r="Q70" s="33" t="s">
        <v>26</v>
      </c>
      <c r="R70" s="33">
        <f>+VLOOKUP(Q70,scoring!$U$10:$AA$105,7,FALSE)-72*4</f>
        <v>39</v>
      </c>
      <c r="S70" s="33" t="s">
        <v>26</v>
      </c>
      <c r="T70" s="33">
        <f>+VLOOKUP(S70,scoring!$U$10:$AA$105,7,FALSE)-72*4</f>
        <v>39</v>
      </c>
      <c r="U70" s="33">
        <f>IFERROR(SMALL(E70:T70,1)+SMALL(E70:T70,2)+SMALL(E70:T70,3),IFERROR(SMALL(E70:T70,1)+SMALL(E70:T70,2),IFERROR(SMALL(E70:T70,1),"-")))</f>
        <v>-11</v>
      </c>
    </row>
    <row r="71" spans="1:21" ht="16" x14ac:dyDescent="0.2">
      <c r="A71" s="32">
        <v>16</v>
      </c>
      <c r="B71" s="33" t="s">
        <v>127</v>
      </c>
      <c r="C71" s="33" t="s">
        <v>80</v>
      </c>
      <c r="D71" s="33" t="s">
        <v>81</v>
      </c>
      <c r="E71" s="33" t="s">
        <v>34</v>
      </c>
      <c r="F71" s="33">
        <f>+VLOOKUP(E71,scoring!$U$10:$AA$105,7,FALSE)-72*4</f>
        <v>-3</v>
      </c>
      <c r="G71" s="33" t="s">
        <v>34</v>
      </c>
      <c r="H71" s="33">
        <f>+VLOOKUP(G71,scoring!$U$10:$AA$105,7,FALSE)-72*4</f>
        <v>-3</v>
      </c>
      <c r="I71" s="33" t="s">
        <v>34</v>
      </c>
      <c r="J71" s="33">
        <f>+VLOOKUP(I71,scoring!$U$10:$AA$105,7,FALSE)-72*4</f>
        <v>-3</v>
      </c>
      <c r="K71" s="33" t="s">
        <v>54</v>
      </c>
      <c r="L71" s="33">
        <f>+VLOOKUP(K71,scoring!$U$10:$AA$105,7,FALSE)-72*4</f>
        <v>4</v>
      </c>
      <c r="M71" s="33" t="s">
        <v>25</v>
      </c>
      <c r="N71" s="33">
        <f>+VLOOKUP(M71,scoring!$U$10:$AA$105,7,FALSE)-72*4</f>
        <v>-4</v>
      </c>
      <c r="O71" s="33" t="s">
        <v>26</v>
      </c>
      <c r="P71" s="33">
        <f>+VLOOKUP(O71,scoring!$U$10:$AA$105,7,FALSE)-72*4</f>
        <v>39</v>
      </c>
      <c r="Q71" s="33" t="s">
        <v>26</v>
      </c>
      <c r="R71" s="33">
        <f>+VLOOKUP(Q71,scoring!$U$10:$AA$105,7,FALSE)-72*4</f>
        <v>39</v>
      </c>
      <c r="S71" s="33" t="s">
        <v>26</v>
      </c>
      <c r="T71" s="33">
        <f>+VLOOKUP(S71,scoring!$U$10:$AA$105,7,FALSE)-72*4</f>
        <v>39</v>
      </c>
      <c r="U71" s="33">
        <f>IFERROR(SMALL(E71:T71,1)+SMALL(E71:T71,2)+SMALL(E71:T71,3),IFERROR(SMALL(E71:T71,1)+SMALL(E71:T71,2),IFERROR(SMALL(E71:T71,1),"-")))</f>
        <v>-10</v>
      </c>
    </row>
    <row r="72" spans="1:21" ht="16" x14ac:dyDescent="0.2">
      <c r="A72" s="32">
        <v>20</v>
      </c>
      <c r="B72" s="33" t="s">
        <v>132</v>
      </c>
      <c r="C72" s="33" t="s">
        <v>134</v>
      </c>
      <c r="D72" s="33" t="s">
        <v>136</v>
      </c>
      <c r="E72" s="33" t="s">
        <v>34</v>
      </c>
      <c r="F72" s="33">
        <f>+VLOOKUP(E72,scoring!$U$10:$AA$105,7,FALSE)-72*4</f>
        <v>-3</v>
      </c>
      <c r="G72" s="33" t="s">
        <v>34</v>
      </c>
      <c r="H72" s="33">
        <f>+VLOOKUP(G72,scoring!$U$10:$AA$105,7,FALSE)-72*4</f>
        <v>-3</v>
      </c>
      <c r="I72" s="33" t="s">
        <v>34</v>
      </c>
      <c r="J72" s="33">
        <f>+VLOOKUP(I72,scoring!$U$10:$AA$105,7,FALSE)-72*4</f>
        <v>-3</v>
      </c>
      <c r="K72" s="33" t="s">
        <v>54</v>
      </c>
      <c r="L72" s="33">
        <f>+VLOOKUP(K72,scoring!$U$10:$AA$105,7,FALSE)-72*4</f>
        <v>4</v>
      </c>
      <c r="M72" s="33" t="s">
        <v>25</v>
      </c>
      <c r="N72" s="33">
        <f>+VLOOKUP(M72,scoring!$U$10:$AA$105,7,FALSE)-72*4</f>
        <v>-4</v>
      </c>
      <c r="O72" s="33" t="s">
        <v>26</v>
      </c>
      <c r="P72" s="33">
        <f>+VLOOKUP(O72,scoring!$U$10:$AA$105,7,FALSE)-72*4</f>
        <v>39</v>
      </c>
      <c r="Q72" s="33" t="s">
        <v>26</v>
      </c>
      <c r="R72" s="33">
        <f>+VLOOKUP(Q72,scoring!$U$10:$AA$105,7,FALSE)-72*4</f>
        <v>39</v>
      </c>
      <c r="S72" s="33" t="s">
        <v>26</v>
      </c>
      <c r="T72" s="33">
        <f>+VLOOKUP(S72,scoring!$U$10:$AA$105,7,FALSE)-72*4</f>
        <v>39</v>
      </c>
      <c r="U72" s="33">
        <f>IFERROR(SMALL(E72:T72,1)+SMALL(E72:T72,2)+SMALL(E72:T72,3),IFERROR(SMALL(E72:T72,1)+SMALL(E72:T72,2),IFERROR(SMALL(E72:T72,1),"-")))</f>
        <v>-10</v>
      </c>
    </row>
    <row r="73" spans="1:21" ht="16" x14ac:dyDescent="0.2">
      <c r="A73" s="32">
        <v>35</v>
      </c>
      <c r="B73" s="33" t="s">
        <v>163</v>
      </c>
      <c r="C73" s="33" t="s">
        <v>72</v>
      </c>
      <c r="D73" s="33" t="s">
        <v>73</v>
      </c>
      <c r="E73" s="33" t="s">
        <v>14</v>
      </c>
      <c r="F73" s="33">
        <f>+VLOOKUP(E73,scoring!$U$10:$AA$105,7,FALSE)-72*4</f>
        <v>0</v>
      </c>
      <c r="G73" s="33" t="s">
        <v>14</v>
      </c>
      <c r="H73" s="33">
        <f>+VLOOKUP(G73,scoring!$U$10:$AA$105,7,FALSE)-72*4</f>
        <v>0</v>
      </c>
      <c r="I73" s="33" t="s">
        <v>34</v>
      </c>
      <c r="J73" s="33">
        <f>+VLOOKUP(I73,scoring!$U$10:$AA$105,7,FALSE)-72*4</f>
        <v>-3</v>
      </c>
      <c r="K73" s="33" t="s">
        <v>34</v>
      </c>
      <c r="L73" s="33">
        <f>+VLOOKUP(K73,scoring!$U$10:$AA$105,7,FALSE)-72*4</f>
        <v>-3</v>
      </c>
      <c r="M73" s="33" t="s">
        <v>75</v>
      </c>
      <c r="N73" s="33">
        <f>+VLOOKUP(M73,scoring!$U$10:$AA$105,7,FALSE)-72*4</f>
        <v>6</v>
      </c>
      <c r="O73" s="33" t="s">
        <v>25</v>
      </c>
      <c r="P73" s="33">
        <f>+VLOOKUP(O73,scoring!$U$10:$AA$105,7,FALSE)-72*4</f>
        <v>-4</v>
      </c>
      <c r="Q73" s="33" t="s">
        <v>26</v>
      </c>
      <c r="R73" s="33">
        <f>+VLOOKUP(Q73,scoring!$U$10:$AA$105,7,FALSE)-72*4</f>
        <v>39</v>
      </c>
      <c r="S73" s="33" t="s">
        <v>26</v>
      </c>
      <c r="T73" s="33">
        <f>+VLOOKUP(S73,scoring!$U$10:$AA$105,7,FALSE)-72*4</f>
        <v>39</v>
      </c>
      <c r="U73" s="33">
        <f>IFERROR(SMALL(E73:T73,1)+SMALL(E73:T73,2)+SMALL(E73:T73,3),IFERROR(SMALL(E73:T73,1)+SMALL(E73:T73,2),IFERROR(SMALL(E73:T73,1),"-")))</f>
        <v>-10</v>
      </c>
    </row>
    <row r="74" spans="1:21" ht="16" x14ac:dyDescent="0.2">
      <c r="A74" s="32">
        <v>37</v>
      </c>
      <c r="B74" s="33" t="s">
        <v>160</v>
      </c>
      <c r="C74" s="33" t="s">
        <v>157</v>
      </c>
      <c r="D74" s="33" t="s">
        <v>158</v>
      </c>
      <c r="E74" s="33" t="s">
        <v>43</v>
      </c>
      <c r="F74" s="33">
        <f>+VLOOKUP(E74,scoring!$U$10:$AA$105,7,FALSE)-72*4</f>
        <v>-11</v>
      </c>
      <c r="G74" s="33" t="s">
        <v>58</v>
      </c>
      <c r="H74" s="33">
        <f>+VLOOKUP(G74,scoring!$U$10:$AA$105,7,FALSE)-72*4</f>
        <v>-2</v>
      </c>
      <c r="I74" s="33" t="s">
        <v>54</v>
      </c>
      <c r="J74" s="33">
        <f>+VLOOKUP(I74,scoring!$U$10:$AA$105,7,FALSE)-72*4</f>
        <v>4</v>
      </c>
      <c r="K74" s="33" t="s">
        <v>22</v>
      </c>
      <c r="L74" s="33">
        <f>+VLOOKUP(K74,scoring!$U$10:$AA$105,7,FALSE)-72*4</f>
        <v>25</v>
      </c>
      <c r="M74" s="33" t="s">
        <v>168</v>
      </c>
      <c r="N74" s="33">
        <f>+VLOOKUP(M74,scoring!$U$10:$AA$105,7,FALSE)-72*4</f>
        <v>26</v>
      </c>
      <c r="O74" s="33" t="s">
        <v>26</v>
      </c>
      <c r="P74" s="33">
        <f>+VLOOKUP(O74,scoring!$U$10:$AA$105,7,FALSE)-72*4</f>
        <v>39</v>
      </c>
      <c r="Q74" s="33" t="s">
        <v>26</v>
      </c>
      <c r="R74" s="33">
        <f>+VLOOKUP(Q74,scoring!$U$10:$AA$105,7,FALSE)-72*4</f>
        <v>39</v>
      </c>
      <c r="S74" s="33" t="s">
        <v>26</v>
      </c>
      <c r="T74" s="33">
        <f>+VLOOKUP(S74,scoring!$U$10:$AA$105,7,FALSE)-72*4</f>
        <v>39</v>
      </c>
      <c r="U74" s="33">
        <f>IFERROR(SMALL(E74:T74,1)+SMALL(E74:T74,2)+SMALL(E74:T74,3),IFERROR(SMALL(E74:T74,1)+SMALL(E74:T74,2),IFERROR(SMALL(E74:T74,1),"-")))</f>
        <v>-9</v>
      </c>
    </row>
    <row r="75" spans="1:21" ht="16" x14ac:dyDescent="0.2">
      <c r="A75" s="32">
        <v>2</v>
      </c>
      <c r="B75" s="33" t="s">
        <v>106</v>
      </c>
      <c r="C75" s="33" t="s">
        <v>95</v>
      </c>
      <c r="D75" s="33" t="s">
        <v>96</v>
      </c>
      <c r="E75" s="33" t="s">
        <v>27</v>
      </c>
      <c r="F75" s="33">
        <f>+VLOOKUP(E75,scoring!$U$10:$AA$105,7,FALSE)-72*4</f>
        <v>-5</v>
      </c>
      <c r="G75" s="33" t="s">
        <v>27</v>
      </c>
      <c r="H75" s="33">
        <f>+VLOOKUP(G75,scoring!$U$10:$AA$105,7,FALSE)-72*4</f>
        <v>-5</v>
      </c>
      <c r="I75" s="33" t="s">
        <v>20</v>
      </c>
      <c r="J75" s="33">
        <f>+VLOOKUP(I75,scoring!$U$10:$AA$105,7,FALSE)-72*4</f>
        <v>26</v>
      </c>
      <c r="K75" s="33" t="s">
        <v>20</v>
      </c>
      <c r="L75" s="33">
        <f>+VLOOKUP(K75,scoring!$U$10:$AA$105,7,FALSE)-72*4</f>
        <v>26</v>
      </c>
      <c r="M75" s="33" t="s">
        <v>22</v>
      </c>
      <c r="N75" s="33">
        <f>+VLOOKUP(M75,scoring!$U$10:$AA$105,7,FALSE)-72*4</f>
        <v>25</v>
      </c>
      <c r="O75" s="33" t="s">
        <v>22</v>
      </c>
      <c r="P75" s="33">
        <f>+VLOOKUP(O75,scoring!$U$10:$AA$105,7,FALSE)-72*4</f>
        <v>25</v>
      </c>
      <c r="Q75" s="33" t="s">
        <v>24</v>
      </c>
      <c r="R75" s="33">
        <f>+VLOOKUP(Q75,scoring!$U$10:$AA$105,7,FALSE)-72*4</f>
        <v>28</v>
      </c>
      <c r="S75" s="33" t="s">
        <v>170</v>
      </c>
      <c r="T75" s="33">
        <f>+VLOOKUP(S75,scoring!$U$10:$AA$105,7,FALSE)-72*4</f>
        <v>1</v>
      </c>
      <c r="U75" s="33">
        <f>IFERROR(SMALL(E75:T75,1)+SMALL(E75:T75,2)+SMALL(E75:T75,3),IFERROR(SMALL(E75:T75,1)+SMALL(E75:T75,2),IFERROR(SMALL(E75:T75,1),"-")))</f>
        <v>-9</v>
      </c>
    </row>
    <row r="76" spans="1:21" ht="16" x14ac:dyDescent="0.2">
      <c r="A76" s="32">
        <v>32</v>
      </c>
      <c r="B76" s="33" t="s">
        <v>153</v>
      </c>
      <c r="C76" s="33" t="s">
        <v>89</v>
      </c>
      <c r="D76" s="33" t="s">
        <v>90</v>
      </c>
      <c r="E76" s="33" t="s">
        <v>34</v>
      </c>
      <c r="F76" s="33">
        <f>+VLOOKUP(E76,scoring!$U$10:$AA$105,7,FALSE)-72*4</f>
        <v>-3</v>
      </c>
      <c r="G76" s="33" t="s">
        <v>32</v>
      </c>
      <c r="H76" s="33">
        <f>+VLOOKUP(G76,scoring!$U$10:$AA$105,7,FALSE)-72*4</f>
        <v>-2</v>
      </c>
      <c r="I76" s="33" t="s">
        <v>41</v>
      </c>
      <c r="J76" s="33">
        <f>+VLOOKUP(I76,scoring!$U$10:$AA$105,7,FALSE)-72*4</f>
        <v>24</v>
      </c>
      <c r="K76" s="33" t="s">
        <v>94</v>
      </c>
      <c r="L76" s="33">
        <f>+VLOOKUP(K76,scoring!$U$10:$AA$105,7,FALSE)-72*4</f>
        <v>26</v>
      </c>
      <c r="M76" s="33" t="s">
        <v>28</v>
      </c>
      <c r="N76" s="33">
        <f>+VLOOKUP(M76,scoring!$U$10:$AA$105,7,FALSE)-72*4</f>
        <v>0</v>
      </c>
      <c r="O76" s="33" t="s">
        <v>169</v>
      </c>
      <c r="P76" s="33">
        <f>+VLOOKUP(O76,scoring!$U$10:$AA$105,7,FALSE)-72*4</f>
        <v>-2</v>
      </c>
      <c r="Q76" s="33" t="s">
        <v>34</v>
      </c>
      <c r="R76" s="33">
        <f>+VLOOKUP(Q76,scoring!$U$10:$AA$105,7,FALSE)-72*4</f>
        <v>-3</v>
      </c>
      <c r="S76" s="33" t="s">
        <v>94</v>
      </c>
      <c r="T76" s="33">
        <f>+VLOOKUP(S76,scoring!$U$10:$AA$105,7,FALSE)-72*4</f>
        <v>26</v>
      </c>
      <c r="U76" s="33">
        <f>IFERROR(SMALL(E76:T76,1)+SMALL(E76:T76,2)+SMALL(E76:T76,3),IFERROR(SMALL(E76:T76,1)+SMALL(E76:T76,2),IFERROR(SMALL(E76:T76,1),"-")))</f>
        <v>-8</v>
      </c>
    </row>
    <row r="77" spans="1:21" ht="16" x14ac:dyDescent="0.2">
      <c r="A77" s="32">
        <v>27</v>
      </c>
      <c r="B77" s="33" t="s">
        <v>147</v>
      </c>
      <c r="C77" s="33" t="s">
        <v>86</v>
      </c>
      <c r="D77" s="33" t="s">
        <v>57</v>
      </c>
      <c r="E77" s="33" t="s">
        <v>55</v>
      </c>
      <c r="F77" s="33">
        <f>+VLOOKUP(E77,scoring!$U$10:$AA$105,7,FALSE)-72*4</f>
        <v>2</v>
      </c>
      <c r="G77" s="33" t="s">
        <v>55</v>
      </c>
      <c r="H77" s="33">
        <f>+VLOOKUP(G77,scoring!$U$10:$AA$105,7,FALSE)-72*4</f>
        <v>2</v>
      </c>
      <c r="I77" s="33" t="s">
        <v>54</v>
      </c>
      <c r="J77" s="33">
        <f>+VLOOKUP(I77,scoring!$U$10:$AA$105,7,FALSE)-72*4</f>
        <v>4</v>
      </c>
      <c r="K77" s="33" t="s">
        <v>43</v>
      </c>
      <c r="L77" s="33">
        <f>+VLOOKUP(K77,scoring!$U$10:$AA$105,7,FALSE)-72*4</f>
        <v>-11</v>
      </c>
      <c r="M77" s="33" t="s">
        <v>75</v>
      </c>
      <c r="N77" s="33">
        <f>+VLOOKUP(M77,scoring!$U$10:$AA$105,7,FALSE)-72*4</f>
        <v>6</v>
      </c>
      <c r="O77" s="33" t="s">
        <v>55</v>
      </c>
      <c r="P77" s="33">
        <f>+VLOOKUP(O77,scoring!$U$10:$AA$105,7,FALSE)-72*4</f>
        <v>2</v>
      </c>
      <c r="Q77" s="33" t="s">
        <v>26</v>
      </c>
      <c r="R77" s="33">
        <f>+VLOOKUP(Q77,scoring!$U$10:$AA$105,7,FALSE)-72*4</f>
        <v>39</v>
      </c>
      <c r="S77" s="33" t="s">
        <v>26</v>
      </c>
      <c r="T77" s="33">
        <f>+VLOOKUP(S77,scoring!$U$10:$AA$105,7,FALSE)-72*4</f>
        <v>39</v>
      </c>
      <c r="U77" s="33">
        <f>IFERROR(SMALL(E77:T77,1)+SMALL(E77:T77,2)+SMALL(E77:T77,3),IFERROR(SMALL(E77:T77,1)+SMALL(E77:T77,2),IFERROR(SMALL(E77:T77,1),"-")))</f>
        <v>-7</v>
      </c>
    </row>
    <row r="78" spans="1:21" ht="16" x14ac:dyDescent="0.2">
      <c r="A78" s="32">
        <v>3</v>
      </c>
      <c r="B78" s="33" t="s">
        <v>109</v>
      </c>
      <c r="C78" s="33" t="s">
        <v>107</v>
      </c>
      <c r="D78" s="33" t="s">
        <v>108</v>
      </c>
      <c r="E78" s="33" t="s">
        <v>34</v>
      </c>
      <c r="F78" s="33">
        <f>+VLOOKUP(E78,scoring!$U$10:$AA$105,7,FALSE)-72*4</f>
        <v>-3</v>
      </c>
      <c r="G78" s="33" t="s">
        <v>37</v>
      </c>
      <c r="H78" s="33">
        <f>+VLOOKUP(G78,scoring!$U$10:$AA$105,7,FALSE)-72*4</f>
        <v>-2</v>
      </c>
      <c r="I78" s="33" t="s">
        <v>37</v>
      </c>
      <c r="J78" s="33">
        <f>+VLOOKUP(I78,scoring!$U$10:$AA$105,7,FALSE)-72*4</f>
        <v>-2</v>
      </c>
      <c r="K78" s="33" t="s">
        <v>20</v>
      </c>
      <c r="L78" s="33">
        <f>+VLOOKUP(K78,scoring!$U$10:$AA$105,7,FALSE)-72*4</f>
        <v>26</v>
      </c>
      <c r="M78" s="33" t="s">
        <v>165</v>
      </c>
      <c r="N78" s="33">
        <f>+VLOOKUP(M78,scoring!$U$10:$AA$105,7,FALSE)-72*4</f>
        <v>27</v>
      </c>
      <c r="O78" s="33" t="s">
        <v>21</v>
      </c>
      <c r="P78" s="33">
        <f>+VLOOKUP(O78,scoring!$U$10:$AA$105,7,FALSE)-72*4</f>
        <v>29</v>
      </c>
      <c r="Q78" s="33" t="s">
        <v>64</v>
      </c>
      <c r="R78" s="33">
        <f>+VLOOKUP(Q78,scoring!$U$10:$AA$105,7,FALSE)-72*4</f>
        <v>26</v>
      </c>
      <c r="S78" s="33" t="s">
        <v>174</v>
      </c>
      <c r="T78" s="33">
        <f>+VLOOKUP(S78,scoring!$U$10:$AA$105,7,FALSE)-72*4</f>
        <v>31</v>
      </c>
      <c r="U78" s="33">
        <f>IFERROR(SMALL(E78:T78,1)+SMALL(E78:T78,2)+SMALL(E78:T78,3),IFERROR(SMALL(E78:T78,1)+SMALL(E78:T78,2),IFERROR(SMALL(E78:T78,1),"-")))</f>
        <v>-7</v>
      </c>
    </row>
    <row r="79" spans="1:21" ht="16" x14ac:dyDescent="0.2">
      <c r="A79" s="32">
        <v>25</v>
      </c>
      <c r="B79" s="33" t="s">
        <v>144</v>
      </c>
      <c r="C79" s="33" t="s">
        <v>48</v>
      </c>
      <c r="D79" s="33" t="s">
        <v>49</v>
      </c>
      <c r="E79" s="33" t="s">
        <v>27</v>
      </c>
      <c r="F79" s="33">
        <f>+VLOOKUP(E79,scoring!$U$10:$AA$105,7,FALSE)-72*4</f>
        <v>-5</v>
      </c>
      <c r="G79" s="33" t="s">
        <v>33</v>
      </c>
      <c r="H79" s="33">
        <f>+VLOOKUP(G79,scoring!$U$10:$AA$105,7,FALSE)-72*4</f>
        <v>2</v>
      </c>
      <c r="I79" s="33" t="s">
        <v>41</v>
      </c>
      <c r="J79" s="33">
        <f>+VLOOKUP(I79,scoring!$U$10:$AA$105,7,FALSE)-72*4</f>
        <v>24</v>
      </c>
      <c r="K79" s="33" t="s">
        <v>75</v>
      </c>
      <c r="L79" s="33">
        <f>+VLOOKUP(K79,scoring!$U$10:$AA$105,7,FALSE)-72*4</f>
        <v>6</v>
      </c>
      <c r="M79" s="33" t="s">
        <v>34</v>
      </c>
      <c r="N79" s="33">
        <f>+VLOOKUP(M79,scoring!$U$10:$AA$105,7,FALSE)-72*4</f>
        <v>-3</v>
      </c>
      <c r="O79" s="33" t="s">
        <v>16</v>
      </c>
      <c r="P79" s="33">
        <f>+VLOOKUP(O79,scoring!$U$10:$AA$105,7,FALSE)-72*4</f>
        <v>24</v>
      </c>
      <c r="Q79" s="33" t="s">
        <v>168</v>
      </c>
      <c r="R79" s="33">
        <f>+VLOOKUP(Q79,scoring!$U$10:$AA$105,7,FALSE)-72*4</f>
        <v>26</v>
      </c>
      <c r="S79" s="33" t="s">
        <v>26</v>
      </c>
      <c r="T79" s="33">
        <f>+VLOOKUP(S79,scoring!$U$10:$AA$105,7,FALSE)-72*4</f>
        <v>39</v>
      </c>
      <c r="U79" s="33">
        <f>IFERROR(SMALL(E79:T79,1)+SMALL(E79:T79,2)+SMALL(E79:T79,3),IFERROR(SMALL(E79:T79,1)+SMALL(E79:T79,2),IFERROR(SMALL(E79:T79,1),"-")))</f>
        <v>-6</v>
      </c>
    </row>
    <row r="80" spans="1:21" ht="16" x14ac:dyDescent="0.2">
      <c r="A80" s="32">
        <v>13</v>
      </c>
      <c r="B80" s="33" t="s">
        <v>124</v>
      </c>
      <c r="C80" s="33" t="s">
        <v>12</v>
      </c>
      <c r="D80" s="33" t="s">
        <v>13</v>
      </c>
      <c r="E80" s="33" t="s">
        <v>14</v>
      </c>
      <c r="F80" s="33">
        <f>+VLOOKUP(E80,scoring!$U$10:$AA$105,7,FALSE)-72*4</f>
        <v>0</v>
      </c>
      <c r="G80" s="33" t="s">
        <v>14</v>
      </c>
      <c r="H80" s="33">
        <f>+VLOOKUP(G80,scoring!$U$10:$AA$105,7,FALSE)-72*4</f>
        <v>0</v>
      </c>
      <c r="I80" s="33" t="s">
        <v>14</v>
      </c>
      <c r="J80" s="33">
        <f>+VLOOKUP(I80,scoring!$U$10:$AA$105,7,FALSE)-72*4</f>
        <v>0</v>
      </c>
      <c r="K80" s="33" t="s">
        <v>42</v>
      </c>
      <c r="L80" s="33">
        <f>+VLOOKUP(K80,scoring!$U$10:$AA$105,7,FALSE)-72*4</f>
        <v>4</v>
      </c>
      <c r="M80" s="33" t="s">
        <v>42</v>
      </c>
      <c r="N80" s="33">
        <f>+VLOOKUP(M80,scoring!$U$10:$AA$105,7,FALSE)-72*4</f>
        <v>4</v>
      </c>
      <c r="O80" s="33" t="s">
        <v>42</v>
      </c>
      <c r="P80" s="33">
        <f>+VLOOKUP(O80,scoring!$U$10:$AA$105,7,FALSE)-72*4</f>
        <v>4</v>
      </c>
      <c r="Q80" s="33" t="s">
        <v>34</v>
      </c>
      <c r="R80" s="33">
        <f>+VLOOKUP(Q80,scoring!$U$10:$AA$105,7,FALSE)-72*4</f>
        <v>-3</v>
      </c>
      <c r="S80" s="33" t="s">
        <v>26</v>
      </c>
      <c r="T80" s="33">
        <f>+VLOOKUP(S80,scoring!$U$10:$AA$105,7,FALSE)-72*4</f>
        <v>39</v>
      </c>
      <c r="U80" s="33">
        <f>IFERROR(SMALL(E80:T80,1)+SMALL(E80:T80,2)+SMALL(E80:T80,3),IFERROR(SMALL(E80:T80,1)+SMALL(E80:T80,2),IFERROR(SMALL(E80:T80,1),"-")))</f>
        <v>-3</v>
      </c>
    </row>
    <row r="81" spans="1:21" ht="16" x14ac:dyDescent="0.2">
      <c r="A81" s="32">
        <v>5</v>
      </c>
      <c r="B81" s="33" t="s">
        <v>146</v>
      </c>
      <c r="C81" s="33" t="s">
        <v>59</v>
      </c>
      <c r="D81" s="33" t="s">
        <v>60</v>
      </c>
      <c r="E81" s="33" t="s">
        <v>33</v>
      </c>
      <c r="F81" s="33">
        <f>+VLOOKUP(E81,scoring!$U$10:$AA$105,7,FALSE)-72*4</f>
        <v>2</v>
      </c>
      <c r="G81" s="33" t="s">
        <v>33</v>
      </c>
      <c r="H81" s="33">
        <f>+VLOOKUP(G81,scoring!$U$10:$AA$105,7,FALSE)-72*4</f>
        <v>2</v>
      </c>
      <c r="I81" s="33" t="s">
        <v>54</v>
      </c>
      <c r="J81" s="33">
        <f>+VLOOKUP(I81,scoring!$U$10:$AA$105,7,FALSE)-72*4</f>
        <v>4</v>
      </c>
      <c r="K81" s="33" t="s">
        <v>41</v>
      </c>
      <c r="L81" s="33">
        <f>+VLOOKUP(K81,scoring!$U$10:$AA$105,7,FALSE)-72*4</f>
        <v>24</v>
      </c>
      <c r="M81" s="33" t="s">
        <v>41</v>
      </c>
      <c r="N81" s="33">
        <f>+VLOOKUP(M81,scoring!$U$10:$AA$105,7,FALSE)-72*4</f>
        <v>24</v>
      </c>
      <c r="O81" s="33" t="s">
        <v>165</v>
      </c>
      <c r="P81" s="33">
        <f>+VLOOKUP(O81,scoring!$U$10:$AA$105,7,FALSE)-72*4</f>
        <v>27</v>
      </c>
      <c r="Q81" s="33" t="s">
        <v>75</v>
      </c>
      <c r="R81" s="33">
        <f>+VLOOKUP(Q81,scoring!$U$10:$AA$105,7,FALSE)-72*4</f>
        <v>6</v>
      </c>
      <c r="S81" s="33" t="s">
        <v>21</v>
      </c>
      <c r="T81" s="33">
        <f>+VLOOKUP(S81,scoring!$U$10:$AA$105,7,FALSE)-72*4</f>
        <v>29</v>
      </c>
      <c r="U81" s="33">
        <f>IFERROR(SMALL(E81:T81,1)+SMALL(E81:T81,2)+SMALL(E81:T81,3),IFERROR(SMALL(E81:T81,1)+SMALL(E81:T81,2),IFERROR(SMALL(E81:T81,1),"-")))</f>
        <v>8</v>
      </c>
    </row>
    <row r="82" spans="1:21" ht="16" x14ac:dyDescent="0.2">
      <c r="A82" s="32">
        <v>24</v>
      </c>
      <c r="B82" s="33" t="s">
        <v>140</v>
      </c>
      <c r="C82" s="33" t="s">
        <v>141</v>
      </c>
      <c r="D82" s="33" t="s">
        <v>143</v>
      </c>
      <c r="E82" s="33" t="s">
        <v>43</v>
      </c>
      <c r="F82" s="33">
        <f>+VLOOKUP(E82,scoring!$U$10:$AA$105,7,FALSE)-72*4</f>
        <v>-11</v>
      </c>
      <c r="G82" s="33" t="s">
        <v>14</v>
      </c>
      <c r="H82" s="33">
        <f>+VLOOKUP(G82,scoring!$U$10:$AA$105,7,FALSE)-72*4</f>
        <v>0</v>
      </c>
      <c r="I82" s="33" t="s">
        <v>20</v>
      </c>
      <c r="J82" s="33">
        <f>+VLOOKUP(I82,scoring!$U$10:$AA$105,7,FALSE)-72*4</f>
        <v>26</v>
      </c>
      <c r="K82" s="33" t="s">
        <v>61</v>
      </c>
      <c r="L82" s="33">
        <f>+VLOOKUP(K82,scoring!$U$10:$AA$105,7,FALSE)-72*4</f>
        <v>26</v>
      </c>
      <c r="M82" s="33" t="s">
        <v>26</v>
      </c>
      <c r="N82" s="33">
        <f>+VLOOKUP(M82,scoring!$U$10:$AA$105,7,FALSE)-72*4</f>
        <v>39</v>
      </c>
      <c r="O82" s="33" t="s">
        <v>26</v>
      </c>
      <c r="P82" s="33">
        <f>+VLOOKUP(O82,scoring!$U$10:$AA$105,7,FALSE)-72*4</f>
        <v>39</v>
      </c>
      <c r="Q82" s="33" t="s">
        <v>26</v>
      </c>
      <c r="R82" s="33">
        <f>+VLOOKUP(Q82,scoring!$U$10:$AA$105,7,FALSE)-72*4</f>
        <v>39</v>
      </c>
      <c r="S82" s="33" t="s">
        <v>26</v>
      </c>
      <c r="T82" s="33">
        <f>+VLOOKUP(S82,scoring!$U$10:$AA$105,7,FALSE)-72*4</f>
        <v>39</v>
      </c>
      <c r="U82" s="33">
        <f>IFERROR(SMALL(E82:T82,1)+SMALL(E82:T82,2)+SMALL(E82:T82,3),IFERROR(SMALL(E82:T82,1)+SMALL(E82:T82,2),IFERROR(SMALL(E82:T82,1),"-")))</f>
        <v>15</v>
      </c>
    </row>
    <row r="83" spans="1:21" ht="16" x14ac:dyDescent="0.2">
      <c r="A83" s="32">
        <v>9</v>
      </c>
      <c r="B83" s="33" t="s">
        <v>114</v>
      </c>
      <c r="C83" s="33" t="s">
        <v>115</v>
      </c>
      <c r="D83" s="33" t="s">
        <v>116</v>
      </c>
      <c r="E83" s="33" t="s">
        <v>34</v>
      </c>
      <c r="F83" s="33">
        <f>+VLOOKUP(E83,scoring!$U$10:$AA$105,7,FALSE)-72*4</f>
        <v>-3</v>
      </c>
      <c r="G83" s="33" t="s">
        <v>34</v>
      </c>
      <c r="H83" s="33">
        <f>+VLOOKUP(G83,scoring!$U$10:$AA$105,7,FALSE)-72*4</f>
        <v>-3</v>
      </c>
      <c r="I83" s="33" t="s">
        <v>41</v>
      </c>
      <c r="J83" s="33">
        <f>+VLOOKUP(I83,scoring!$U$10:$AA$105,7,FALSE)-72*4</f>
        <v>24</v>
      </c>
      <c r="K83" s="33" t="s">
        <v>165</v>
      </c>
      <c r="L83" s="33">
        <f>+VLOOKUP(K83,scoring!$U$10:$AA$105,7,FALSE)-72*4</f>
        <v>27</v>
      </c>
      <c r="M83" s="33" t="s">
        <v>165</v>
      </c>
      <c r="N83" s="33">
        <f>+VLOOKUP(M83,scoring!$U$10:$AA$105,7,FALSE)-72*4</f>
        <v>27</v>
      </c>
      <c r="O83" s="33" t="s">
        <v>21</v>
      </c>
      <c r="P83" s="33">
        <f>+VLOOKUP(O83,scoring!$U$10:$AA$105,7,FALSE)-72*4</f>
        <v>29</v>
      </c>
      <c r="Q83" s="33" t="s">
        <v>21</v>
      </c>
      <c r="R83" s="33">
        <f>+VLOOKUP(Q83,scoring!$U$10:$AA$105,7,FALSE)-72*4</f>
        <v>29</v>
      </c>
      <c r="S83" s="33" t="s">
        <v>26</v>
      </c>
      <c r="T83" s="33">
        <f>+VLOOKUP(S83,scoring!$U$10:$AA$105,7,FALSE)-72*4</f>
        <v>39</v>
      </c>
      <c r="U83" s="33">
        <f>IFERROR(SMALL(E83:T83,1)+SMALL(E83:T83,2)+SMALL(E83:T83,3),IFERROR(SMALL(E83:T83,1)+SMALL(E83:T83,2),IFERROR(SMALL(E83:T83,1),"-")))</f>
        <v>18</v>
      </c>
    </row>
    <row r="84" spans="1:21" ht="16" x14ac:dyDescent="0.2">
      <c r="A84" s="32">
        <v>14</v>
      </c>
      <c r="B84" s="33" t="s">
        <v>125</v>
      </c>
      <c r="C84" s="33" t="s">
        <v>39</v>
      </c>
      <c r="D84" s="33" t="s">
        <v>40</v>
      </c>
      <c r="E84" s="33" t="s">
        <v>15</v>
      </c>
      <c r="F84" s="33">
        <f>+VLOOKUP(E84,scoring!$U$10:$AA$105,7,FALSE)-72*4</f>
        <v>-6</v>
      </c>
      <c r="G84" s="33" t="s">
        <v>41</v>
      </c>
      <c r="H84" s="33">
        <f>+VLOOKUP(G84,scoring!$U$10:$AA$105,7,FALSE)-72*4</f>
        <v>24</v>
      </c>
      <c r="I84" s="33" t="s">
        <v>41</v>
      </c>
      <c r="J84" s="33">
        <f>+VLOOKUP(I84,scoring!$U$10:$AA$105,7,FALSE)-72*4</f>
        <v>24</v>
      </c>
      <c r="K84" s="33" t="s">
        <v>41</v>
      </c>
      <c r="L84" s="33">
        <f>+VLOOKUP(K84,scoring!$U$10:$AA$105,7,FALSE)-72*4</f>
        <v>24</v>
      </c>
      <c r="M84" s="33" t="s">
        <v>23</v>
      </c>
      <c r="N84" s="33">
        <f>+VLOOKUP(M84,scoring!$U$10:$AA$105,7,FALSE)-72*4</f>
        <v>26</v>
      </c>
      <c r="O84" s="33" t="s">
        <v>23</v>
      </c>
      <c r="P84" s="33">
        <f>+VLOOKUP(O84,scoring!$U$10:$AA$105,7,FALSE)-72*4</f>
        <v>26</v>
      </c>
      <c r="Q84" s="33" t="s">
        <v>23</v>
      </c>
      <c r="R84" s="33">
        <f>+VLOOKUP(Q84,scoring!$U$10:$AA$105,7,FALSE)-72*4</f>
        <v>26</v>
      </c>
      <c r="S84" s="33" t="s">
        <v>20</v>
      </c>
      <c r="T84" s="33">
        <f>+VLOOKUP(S84,scoring!$U$10:$AA$105,7,FALSE)-72*4</f>
        <v>26</v>
      </c>
      <c r="U84" s="33">
        <f>IFERROR(SMALL(E84:T84,1)+SMALL(E84:T84,2)+SMALL(E84:T84,3),IFERROR(SMALL(E84:T84,1)+SMALL(E84:T84,2),IFERROR(SMALL(E84:T84,1),"-")))</f>
        <v>42</v>
      </c>
    </row>
    <row r="86" spans="1:21" ht="16" x14ac:dyDescent="0.2">
      <c r="U86" s="40">
        <f>+MIN(U46:U84)</f>
        <v>-27</v>
      </c>
    </row>
  </sheetData>
  <sortState xmlns:xlrd2="http://schemas.microsoft.com/office/spreadsheetml/2017/richdata2" ref="A46:U84">
    <sortCondition ref="U46:U8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12A9-CE0F-0A46-8D99-235F662D3CFD}">
  <dimension ref="C9:AA105"/>
  <sheetViews>
    <sheetView topLeftCell="S4" workbookViewId="0">
      <selection activeCell="N64" sqref="N64:N105"/>
    </sheetView>
  </sheetViews>
  <sheetFormatPr baseColWidth="10" defaultRowHeight="15" x14ac:dyDescent="0.2"/>
  <cols>
    <col min="5" max="5" width="10.83203125" style="13"/>
    <col min="6" max="6" width="63" style="10" customWidth="1"/>
    <col min="7" max="14" width="10.83203125" style="10"/>
    <col min="20" max="20" width="23.33203125" customWidth="1"/>
    <col min="21" max="21" width="41" customWidth="1"/>
    <col min="22" max="22" width="51.83203125" style="18" customWidth="1"/>
  </cols>
  <sheetData>
    <row r="9" spans="3:27" ht="19" x14ac:dyDescent="0.25">
      <c r="C9" s="8" t="s">
        <v>181</v>
      </c>
      <c r="D9" s="8"/>
      <c r="E9" s="8" t="s">
        <v>182</v>
      </c>
      <c r="F9" s="11" t="s">
        <v>183</v>
      </c>
      <c r="G9" s="8" t="s">
        <v>184</v>
      </c>
      <c r="H9" s="8" t="s">
        <v>185</v>
      </c>
      <c r="I9" s="8" t="s">
        <v>186</v>
      </c>
      <c r="J9" s="8" t="s">
        <v>187</v>
      </c>
      <c r="K9" s="8" t="s">
        <v>188</v>
      </c>
      <c r="L9" s="8" t="s">
        <v>189</v>
      </c>
      <c r="M9" s="8" t="s">
        <v>190</v>
      </c>
      <c r="N9"/>
      <c r="T9" s="14" t="s">
        <v>236</v>
      </c>
      <c r="U9" s="14"/>
      <c r="V9" s="19" t="s">
        <v>237</v>
      </c>
    </row>
    <row r="10" spans="3:27" ht="20" x14ac:dyDescent="0.25">
      <c r="C10" s="9"/>
      <c r="D10" s="9" t="s">
        <v>276</v>
      </c>
      <c r="E10" s="23">
        <v>5</v>
      </c>
      <c r="F10" s="12" t="s">
        <v>51</v>
      </c>
      <c r="G10" s="9">
        <v>-11</v>
      </c>
      <c r="H10" s="9">
        <v>-6</v>
      </c>
      <c r="I10" s="9" t="s">
        <v>191</v>
      </c>
      <c r="J10" s="9">
        <v>65</v>
      </c>
      <c r="K10" s="9">
        <v>71</v>
      </c>
      <c r="L10" s="9">
        <v>75</v>
      </c>
      <c r="M10" s="9">
        <v>66</v>
      </c>
      <c r="N10" s="9">
        <v>277</v>
      </c>
      <c r="T10" s="15">
        <v>1</v>
      </c>
      <c r="U10" s="16" t="s">
        <v>192</v>
      </c>
      <c r="V10" s="20" t="s">
        <v>192</v>
      </c>
      <c r="W10">
        <f>+VLOOKUP(V10,$F$10:$N$105,5,FALSE)</f>
        <v>68</v>
      </c>
      <c r="X10">
        <f>+VLOOKUP(V10,$F$10:$N$105,6,FALSE)</f>
        <v>71</v>
      </c>
      <c r="Y10">
        <f>+VLOOKUP($V10,$F$10:$N$105,7,FALSE)</f>
        <v>72</v>
      </c>
      <c r="Z10">
        <f>+VLOOKUP($V10,$F$10:$N$105,8,FALSE)</f>
        <v>69</v>
      </c>
      <c r="AA10">
        <f>+VLOOKUP(V10,$F$10:$N$105,9,FALSE)</f>
        <v>280</v>
      </c>
    </row>
    <row r="11" spans="3:27" ht="20" x14ac:dyDescent="0.25">
      <c r="C11" s="9"/>
      <c r="D11" s="9" t="s">
        <v>276</v>
      </c>
      <c r="E11" s="9" t="s">
        <v>248</v>
      </c>
      <c r="F11" s="12" t="s">
        <v>43</v>
      </c>
      <c r="G11" s="9">
        <v>-11</v>
      </c>
      <c r="H11" s="9">
        <v>1</v>
      </c>
      <c r="I11" s="9" t="s">
        <v>191</v>
      </c>
      <c r="J11" s="9">
        <v>72</v>
      </c>
      <c r="K11" s="9">
        <v>66</v>
      </c>
      <c r="L11" s="9">
        <v>66</v>
      </c>
      <c r="M11" s="9">
        <v>73</v>
      </c>
      <c r="N11" s="9">
        <v>277</v>
      </c>
      <c r="T11" s="15">
        <v>2</v>
      </c>
      <c r="U11" s="16" t="s">
        <v>43</v>
      </c>
      <c r="V11" s="20" t="s">
        <v>43</v>
      </c>
      <c r="W11">
        <f t="shared" ref="W11:W74" si="0">+VLOOKUP(V11,$F$10:$N$105,5,FALSE)</f>
        <v>72</v>
      </c>
      <c r="X11">
        <f t="shared" ref="X11:X74" si="1">+VLOOKUP(V11,$F$10:$N$105,6,FALSE)</f>
        <v>66</v>
      </c>
      <c r="Y11">
        <f t="shared" ref="Y11:Y74" si="2">+VLOOKUP(V11,$F$10:$N$105,7,FALSE)</f>
        <v>66</v>
      </c>
      <c r="Z11">
        <f t="shared" ref="Z11:Z74" si="3">+VLOOKUP($V11,$F$10:$N$105,8,FALSE)</f>
        <v>73</v>
      </c>
      <c r="AA11">
        <f t="shared" ref="AA11:AA74" si="4">+VLOOKUP(V11,$F$10:$N$105,9,FALSE)</f>
        <v>277</v>
      </c>
    </row>
    <row r="12" spans="3:27" ht="20" x14ac:dyDescent="0.25">
      <c r="C12" s="9"/>
      <c r="D12" s="9">
        <v>3</v>
      </c>
      <c r="E12" s="23">
        <v>1</v>
      </c>
      <c r="F12" s="12" t="s">
        <v>29</v>
      </c>
      <c r="G12" s="9">
        <v>-9</v>
      </c>
      <c r="H12" s="9">
        <v>-3</v>
      </c>
      <c r="I12" s="9" t="s">
        <v>191</v>
      </c>
      <c r="J12" s="9">
        <v>71</v>
      </c>
      <c r="K12" s="9">
        <v>70</v>
      </c>
      <c r="L12" s="9">
        <v>69</v>
      </c>
      <c r="M12" s="9">
        <v>69</v>
      </c>
      <c r="N12" s="9">
        <v>279</v>
      </c>
      <c r="T12" s="15">
        <v>3</v>
      </c>
      <c r="U12" s="16" t="s">
        <v>69</v>
      </c>
      <c r="V12" s="20" t="s">
        <v>69</v>
      </c>
      <c r="W12">
        <f t="shared" si="0"/>
        <v>75</v>
      </c>
      <c r="X12">
        <f t="shared" si="1"/>
        <v>71</v>
      </c>
      <c r="Y12">
        <f t="shared" si="2"/>
        <v>70</v>
      </c>
      <c r="Z12">
        <f t="shared" si="3"/>
        <v>69</v>
      </c>
      <c r="AA12">
        <f t="shared" si="4"/>
        <v>285</v>
      </c>
    </row>
    <row r="13" spans="3:27" ht="20" x14ac:dyDescent="0.25">
      <c r="C13" s="9"/>
      <c r="D13" s="9">
        <v>4</v>
      </c>
      <c r="E13" s="23">
        <v>2</v>
      </c>
      <c r="F13" s="12" t="s">
        <v>192</v>
      </c>
      <c r="G13" s="9">
        <v>-8</v>
      </c>
      <c r="H13" s="9">
        <v>-3</v>
      </c>
      <c r="I13" s="9" t="s">
        <v>191</v>
      </c>
      <c r="J13" s="9">
        <v>68</v>
      </c>
      <c r="K13" s="9">
        <v>71</v>
      </c>
      <c r="L13" s="9">
        <v>72</v>
      </c>
      <c r="M13" s="9">
        <v>69</v>
      </c>
      <c r="N13" s="9">
        <v>280</v>
      </c>
      <c r="T13" s="15">
        <v>4</v>
      </c>
      <c r="U13" s="16" t="s">
        <v>15</v>
      </c>
      <c r="V13" s="20" t="s">
        <v>207</v>
      </c>
      <c r="W13">
        <f t="shared" si="0"/>
        <v>68</v>
      </c>
      <c r="X13">
        <f t="shared" si="1"/>
        <v>73</v>
      </c>
      <c r="Y13">
        <f t="shared" si="2"/>
        <v>69</v>
      </c>
      <c r="Z13">
        <f t="shared" si="3"/>
        <v>72</v>
      </c>
      <c r="AA13">
        <f t="shared" si="4"/>
        <v>282</v>
      </c>
    </row>
    <row r="14" spans="3:27" ht="20" x14ac:dyDescent="0.25">
      <c r="C14" s="9"/>
      <c r="D14" s="9" t="s">
        <v>269</v>
      </c>
      <c r="E14" s="23">
        <v>5</v>
      </c>
      <c r="F14" s="12" t="s">
        <v>206</v>
      </c>
      <c r="G14" s="9">
        <v>-7</v>
      </c>
      <c r="H14" s="9">
        <v>-3</v>
      </c>
      <c r="I14" s="9" t="s">
        <v>191</v>
      </c>
      <c r="J14" s="9">
        <v>71</v>
      </c>
      <c r="K14" s="9">
        <v>70</v>
      </c>
      <c r="L14" s="9">
        <v>71</v>
      </c>
      <c r="M14" s="9">
        <v>69</v>
      </c>
      <c r="N14" s="9">
        <v>281</v>
      </c>
      <c r="T14" s="15">
        <v>5</v>
      </c>
      <c r="U14" s="16" t="s">
        <v>34</v>
      </c>
      <c r="V14" s="20" t="s">
        <v>34</v>
      </c>
      <c r="W14">
        <f t="shared" si="0"/>
        <v>72</v>
      </c>
      <c r="X14">
        <f t="shared" si="1"/>
        <v>69</v>
      </c>
      <c r="Y14">
        <f t="shared" si="2"/>
        <v>72</v>
      </c>
      <c r="Z14">
        <f t="shared" si="3"/>
        <v>72</v>
      </c>
      <c r="AA14">
        <f t="shared" si="4"/>
        <v>285</v>
      </c>
    </row>
    <row r="15" spans="3:27" ht="20" x14ac:dyDescent="0.25">
      <c r="C15" s="9"/>
      <c r="D15" s="9" t="s">
        <v>269</v>
      </c>
      <c r="E15" s="24">
        <v>3</v>
      </c>
      <c r="F15" s="12" t="s">
        <v>47</v>
      </c>
      <c r="G15" s="9">
        <v>-7</v>
      </c>
      <c r="H15" s="9">
        <v>3</v>
      </c>
      <c r="I15" s="9" t="s">
        <v>191</v>
      </c>
      <c r="J15" s="9">
        <v>69</v>
      </c>
      <c r="K15" s="9">
        <v>68</v>
      </c>
      <c r="L15" s="9">
        <v>69</v>
      </c>
      <c r="M15" s="9">
        <v>75</v>
      </c>
      <c r="N15" s="9">
        <v>281</v>
      </c>
      <c r="T15" s="15">
        <v>6</v>
      </c>
      <c r="U15" s="16" t="s">
        <v>27</v>
      </c>
      <c r="V15" s="20" t="s">
        <v>27</v>
      </c>
      <c r="W15">
        <f t="shared" si="0"/>
        <v>73</v>
      </c>
      <c r="X15">
        <f t="shared" si="1"/>
        <v>69</v>
      </c>
      <c r="Y15">
        <f t="shared" si="2"/>
        <v>70</v>
      </c>
      <c r="Z15">
        <f t="shared" si="3"/>
        <v>71</v>
      </c>
      <c r="AA15">
        <f t="shared" si="4"/>
        <v>283</v>
      </c>
    </row>
    <row r="16" spans="3:27" ht="20" x14ac:dyDescent="0.25">
      <c r="C16" s="9"/>
      <c r="D16" s="9">
        <v>7</v>
      </c>
      <c r="E16" s="24">
        <v>3</v>
      </c>
      <c r="F16" s="12" t="s">
        <v>207</v>
      </c>
      <c r="G16" s="9">
        <v>-6</v>
      </c>
      <c r="H16" s="9" t="s">
        <v>201</v>
      </c>
      <c r="I16" s="9" t="s">
        <v>191</v>
      </c>
      <c r="J16" s="9">
        <v>68</v>
      </c>
      <c r="K16" s="9">
        <v>73</v>
      </c>
      <c r="L16" s="9">
        <v>69</v>
      </c>
      <c r="M16" s="9">
        <v>72</v>
      </c>
      <c r="N16" s="9">
        <v>282</v>
      </c>
      <c r="T16" s="15">
        <v>7</v>
      </c>
      <c r="U16" s="16" t="s">
        <v>47</v>
      </c>
      <c r="V16" s="20" t="s">
        <v>47</v>
      </c>
      <c r="W16">
        <f t="shared" si="0"/>
        <v>69</v>
      </c>
      <c r="X16">
        <f t="shared" si="1"/>
        <v>68</v>
      </c>
      <c r="Y16">
        <f t="shared" si="2"/>
        <v>69</v>
      </c>
      <c r="Z16">
        <f t="shared" si="3"/>
        <v>75</v>
      </c>
      <c r="AA16">
        <f t="shared" si="4"/>
        <v>281</v>
      </c>
    </row>
    <row r="17" spans="3:27" ht="20" x14ac:dyDescent="0.25">
      <c r="C17" s="9"/>
      <c r="D17" s="9" t="s">
        <v>277</v>
      </c>
      <c r="E17" s="23">
        <v>2</v>
      </c>
      <c r="F17" s="12" t="s">
        <v>180</v>
      </c>
      <c r="G17" s="9">
        <v>-5</v>
      </c>
      <c r="H17" s="9">
        <v>-1</v>
      </c>
      <c r="I17" s="9" t="s">
        <v>191</v>
      </c>
      <c r="J17" s="9">
        <v>72</v>
      </c>
      <c r="K17" s="9">
        <v>74</v>
      </c>
      <c r="L17" s="9">
        <v>66</v>
      </c>
      <c r="M17" s="9">
        <v>71</v>
      </c>
      <c r="N17" s="9">
        <v>283</v>
      </c>
      <c r="T17" s="15">
        <v>8</v>
      </c>
      <c r="U17" s="16" t="s">
        <v>33</v>
      </c>
      <c r="V17" s="20" t="s">
        <v>33</v>
      </c>
      <c r="W17">
        <f t="shared" si="0"/>
        <v>73</v>
      </c>
      <c r="X17">
        <f t="shared" si="1"/>
        <v>71</v>
      </c>
      <c r="Y17">
        <f t="shared" si="2"/>
        <v>76</v>
      </c>
      <c r="Z17">
        <f t="shared" si="3"/>
        <v>70</v>
      </c>
      <c r="AA17">
        <f t="shared" si="4"/>
        <v>290</v>
      </c>
    </row>
    <row r="18" spans="3:27" ht="20" x14ac:dyDescent="0.25">
      <c r="C18" s="9"/>
      <c r="D18" s="9" t="s">
        <v>277</v>
      </c>
      <c r="E18" s="23">
        <v>2</v>
      </c>
      <c r="F18" s="12" t="s">
        <v>27</v>
      </c>
      <c r="G18" s="9">
        <v>-5</v>
      </c>
      <c r="H18" s="9">
        <v>-1</v>
      </c>
      <c r="I18" s="9" t="s">
        <v>191</v>
      </c>
      <c r="J18" s="9">
        <v>73</v>
      </c>
      <c r="K18" s="9">
        <v>69</v>
      </c>
      <c r="L18" s="9">
        <v>70</v>
      </c>
      <c r="M18" s="9">
        <v>71</v>
      </c>
      <c r="N18" s="9">
        <v>283</v>
      </c>
      <c r="T18" s="15">
        <v>9</v>
      </c>
      <c r="U18" s="16" t="s">
        <v>14</v>
      </c>
      <c r="V18" s="20" t="s">
        <v>202</v>
      </c>
      <c r="W18">
        <f t="shared" si="0"/>
        <v>72</v>
      </c>
      <c r="X18">
        <f t="shared" si="1"/>
        <v>74</v>
      </c>
      <c r="Y18">
        <f t="shared" si="2"/>
        <v>70</v>
      </c>
      <c r="Z18">
        <f t="shared" si="3"/>
        <v>72</v>
      </c>
      <c r="AA18">
        <f t="shared" si="4"/>
        <v>288</v>
      </c>
    </row>
    <row r="19" spans="3:27" ht="20" x14ac:dyDescent="0.25">
      <c r="C19" s="9"/>
      <c r="D19" s="9" t="s">
        <v>277</v>
      </c>
      <c r="E19" s="24">
        <v>2</v>
      </c>
      <c r="F19" s="12" t="s">
        <v>50</v>
      </c>
      <c r="G19" s="9">
        <v>-5</v>
      </c>
      <c r="H19" s="9" t="s">
        <v>201</v>
      </c>
      <c r="I19" s="9" t="s">
        <v>191</v>
      </c>
      <c r="J19" s="9">
        <v>70</v>
      </c>
      <c r="K19" s="9">
        <v>70</v>
      </c>
      <c r="L19" s="9">
        <v>71</v>
      </c>
      <c r="M19" s="9">
        <v>72</v>
      </c>
      <c r="N19" s="9">
        <v>283</v>
      </c>
      <c r="T19" s="15">
        <v>10</v>
      </c>
      <c r="U19" s="16" t="s">
        <v>37</v>
      </c>
      <c r="V19" s="20" t="s">
        <v>37</v>
      </c>
      <c r="W19">
        <f t="shared" si="0"/>
        <v>73</v>
      </c>
      <c r="X19">
        <f t="shared" si="1"/>
        <v>68</v>
      </c>
      <c r="Y19">
        <f t="shared" si="2"/>
        <v>79</v>
      </c>
      <c r="Z19">
        <f t="shared" si="3"/>
        <v>66</v>
      </c>
      <c r="AA19">
        <f t="shared" si="4"/>
        <v>286</v>
      </c>
    </row>
    <row r="20" spans="3:27" ht="20" x14ac:dyDescent="0.25">
      <c r="C20" s="9"/>
      <c r="D20" s="9" t="s">
        <v>277</v>
      </c>
      <c r="E20" s="24">
        <v>5</v>
      </c>
      <c r="F20" s="12" t="s">
        <v>38</v>
      </c>
      <c r="G20" s="9">
        <v>-5</v>
      </c>
      <c r="H20" s="9">
        <v>3</v>
      </c>
      <c r="I20" s="9" t="s">
        <v>191</v>
      </c>
      <c r="J20" s="9">
        <v>68</v>
      </c>
      <c r="K20" s="9">
        <v>70</v>
      </c>
      <c r="L20" s="9">
        <v>70</v>
      </c>
      <c r="M20" s="9">
        <v>75</v>
      </c>
      <c r="N20" s="9">
        <v>283</v>
      </c>
      <c r="T20" s="15">
        <v>11</v>
      </c>
      <c r="U20" s="16" t="s">
        <v>20</v>
      </c>
      <c r="V20" s="20" t="s">
        <v>20</v>
      </c>
      <c r="W20">
        <f t="shared" si="0"/>
        <v>74</v>
      </c>
      <c r="X20">
        <f t="shared" si="1"/>
        <v>75</v>
      </c>
      <c r="Y20">
        <f t="shared" si="2"/>
        <v>80</v>
      </c>
      <c r="Z20">
        <f t="shared" si="3"/>
        <v>85</v>
      </c>
      <c r="AA20">
        <f t="shared" si="4"/>
        <v>314</v>
      </c>
    </row>
    <row r="21" spans="3:27" ht="20" x14ac:dyDescent="0.25">
      <c r="C21" s="9"/>
      <c r="D21" s="9" t="s">
        <v>267</v>
      </c>
      <c r="E21" s="23">
        <v>13</v>
      </c>
      <c r="F21" s="12" t="s">
        <v>173</v>
      </c>
      <c r="G21" s="9">
        <v>-4</v>
      </c>
      <c r="H21" s="9">
        <v>-4</v>
      </c>
      <c r="I21" s="9" t="s">
        <v>191</v>
      </c>
      <c r="J21" s="9">
        <v>70</v>
      </c>
      <c r="K21" s="9">
        <v>73</v>
      </c>
      <c r="L21" s="9">
        <v>73</v>
      </c>
      <c r="M21" s="9">
        <v>68</v>
      </c>
      <c r="N21" s="9">
        <v>284</v>
      </c>
      <c r="T21" s="15">
        <v>12</v>
      </c>
      <c r="U21" s="16" t="s">
        <v>74</v>
      </c>
      <c r="V21" s="20" t="s">
        <v>74</v>
      </c>
      <c r="W21">
        <f t="shared" si="0"/>
        <v>73</v>
      </c>
      <c r="X21">
        <f t="shared" si="1"/>
        <v>73</v>
      </c>
      <c r="Y21">
        <f t="shared" si="2"/>
        <v>69</v>
      </c>
      <c r="Z21">
        <f t="shared" si="3"/>
        <v>70</v>
      </c>
      <c r="AA21">
        <f t="shared" si="4"/>
        <v>285</v>
      </c>
    </row>
    <row r="22" spans="3:27" ht="20" x14ac:dyDescent="0.25">
      <c r="C22" s="9"/>
      <c r="D22" s="9" t="s">
        <v>267</v>
      </c>
      <c r="E22" s="23">
        <v>2</v>
      </c>
      <c r="F22" s="12" t="s">
        <v>25</v>
      </c>
      <c r="G22" s="9">
        <v>-4</v>
      </c>
      <c r="H22" s="9">
        <v>-1</v>
      </c>
      <c r="I22" s="9" t="s">
        <v>191</v>
      </c>
      <c r="J22" s="9">
        <v>74</v>
      </c>
      <c r="K22" s="9">
        <v>70</v>
      </c>
      <c r="L22" s="9">
        <v>69</v>
      </c>
      <c r="M22" s="9">
        <v>71</v>
      </c>
      <c r="N22" s="9">
        <v>284</v>
      </c>
      <c r="T22" s="15">
        <v>13</v>
      </c>
      <c r="U22" s="16" t="s">
        <v>58</v>
      </c>
      <c r="V22" s="20" t="s">
        <v>58</v>
      </c>
      <c r="W22">
        <f t="shared" si="0"/>
        <v>73</v>
      </c>
      <c r="X22">
        <f t="shared" si="1"/>
        <v>69</v>
      </c>
      <c r="Y22">
        <f t="shared" si="2"/>
        <v>75</v>
      </c>
      <c r="Z22">
        <f t="shared" si="3"/>
        <v>69</v>
      </c>
      <c r="AA22">
        <f t="shared" si="4"/>
        <v>286</v>
      </c>
    </row>
    <row r="23" spans="3:27" ht="20" x14ac:dyDescent="0.25">
      <c r="C23" s="9"/>
      <c r="D23" s="9" t="s">
        <v>252</v>
      </c>
      <c r="E23" s="23">
        <v>16</v>
      </c>
      <c r="F23" s="12" t="s">
        <v>88</v>
      </c>
      <c r="G23" s="9">
        <v>-3</v>
      </c>
      <c r="H23" s="9">
        <v>-4</v>
      </c>
      <c r="I23" s="9" t="s">
        <v>191</v>
      </c>
      <c r="J23" s="9">
        <v>71</v>
      </c>
      <c r="K23" s="9">
        <v>72</v>
      </c>
      <c r="L23" s="9">
        <v>74</v>
      </c>
      <c r="M23" s="9">
        <v>68</v>
      </c>
      <c r="N23" s="9">
        <v>285</v>
      </c>
      <c r="T23" s="15">
        <v>14</v>
      </c>
      <c r="U23" s="16" t="s">
        <v>54</v>
      </c>
      <c r="V23" s="20" t="s">
        <v>54</v>
      </c>
      <c r="W23">
        <f t="shared" si="0"/>
        <v>71</v>
      </c>
      <c r="X23">
        <f t="shared" si="1"/>
        <v>68</v>
      </c>
      <c r="Y23">
        <f t="shared" si="2"/>
        <v>72</v>
      </c>
      <c r="Z23">
        <f t="shared" si="3"/>
        <v>81</v>
      </c>
      <c r="AA23">
        <f t="shared" si="4"/>
        <v>292</v>
      </c>
    </row>
    <row r="24" spans="3:27" ht="20" x14ac:dyDescent="0.25">
      <c r="C24" s="9"/>
      <c r="D24" s="9" t="s">
        <v>252</v>
      </c>
      <c r="E24" s="23">
        <v>11</v>
      </c>
      <c r="F24" s="12" t="s">
        <v>69</v>
      </c>
      <c r="G24" s="9">
        <v>-3</v>
      </c>
      <c r="H24" s="9">
        <v>-3</v>
      </c>
      <c r="I24" s="9" t="s">
        <v>191</v>
      </c>
      <c r="J24" s="9">
        <v>75</v>
      </c>
      <c r="K24" s="9">
        <v>71</v>
      </c>
      <c r="L24" s="9">
        <v>70</v>
      </c>
      <c r="M24" s="9">
        <v>69</v>
      </c>
      <c r="N24" s="9">
        <v>285</v>
      </c>
      <c r="T24" s="15">
        <v>15</v>
      </c>
      <c r="U24" s="16" t="s">
        <v>32</v>
      </c>
      <c r="V24" s="20" t="s">
        <v>32</v>
      </c>
      <c r="W24">
        <f t="shared" si="0"/>
        <v>71</v>
      </c>
      <c r="X24">
        <f t="shared" si="1"/>
        <v>69</v>
      </c>
      <c r="Y24">
        <f t="shared" si="2"/>
        <v>73</v>
      </c>
      <c r="Z24">
        <f t="shared" si="3"/>
        <v>73</v>
      </c>
      <c r="AA24">
        <f t="shared" si="4"/>
        <v>286</v>
      </c>
    </row>
    <row r="25" spans="3:27" ht="20" x14ac:dyDescent="0.25">
      <c r="C25" s="9"/>
      <c r="D25" s="9" t="s">
        <v>252</v>
      </c>
      <c r="E25" s="23">
        <v>7</v>
      </c>
      <c r="F25" s="12" t="s">
        <v>74</v>
      </c>
      <c r="G25" s="9">
        <v>-3</v>
      </c>
      <c r="H25" s="9">
        <v>-2</v>
      </c>
      <c r="I25" s="9" t="s">
        <v>191</v>
      </c>
      <c r="J25" s="9">
        <v>73</v>
      </c>
      <c r="K25" s="9">
        <v>73</v>
      </c>
      <c r="L25" s="9">
        <v>69</v>
      </c>
      <c r="M25" s="9">
        <v>70</v>
      </c>
      <c r="N25" s="9">
        <v>285</v>
      </c>
      <c r="T25" s="15">
        <v>16</v>
      </c>
      <c r="U25" s="16" t="s">
        <v>44</v>
      </c>
      <c r="V25" s="20" t="s">
        <v>44</v>
      </c>
      <c r="W25">
        <f t="shared" si="0"/>
        <v>74</v>
      </c>
      <c r="X25">
        <f t="shared" si="1"/>
        <v>72</v>
      </c>
      <c r="Y25">
        <f t="shared" si="2"/>
        <v>73</v>
      </c>
      <c r="Z25">
        <f t="shared" si="3"/>
        <v>71</v>
      </c>
      <c r="AA25">
        <f t="shared" si="4"/>
        <v>290</v>
      </c>
    </row>
    <row r="26" spans="3:27" ht="20" x14ac:dyDescent="0.25">
      <c r="C26" s="9"/>
      <c r="D26" s="9" t="s">
        <v>252</v>
      </c>
      <c r="E26" s="23">
        <v>3</v>
      </c>
      <c r="F26" s="12" t="s">
        <v>176</v>
      </c>
      <c r="G26" s="9">
        <v>-3</v>
      </c>
      <c r="H26" s="9">
        <v>-1</v>
      </c>
      <c r="I26" s="9" t="s">
        <v>191</v>
      </c>
      <c r="J26" s="9">
        <v>72</v>
      </c>
      <c r="K26" s="9">
        <v>72</v>
      </c>
      <c r="L26" s="9">
        <v>70</v>
      </c>
      <c r="M26" s="9">
        <v>71</v>
      </c>
      <c r="N26" s="9">
        <v>285</v>
      </c>
      <c r="T26" s="15">
        <v>17</v>
      </c>
      <c r="U26" s="16" t="s">
        <v>164</v>
      </c>
      <c r="V26" s="20" t="s">
        <v>164</v>
      </c>
      <c r="W26">
        <f t="shared" si="0"/>
        <v>69</v>
      </c>
      <c r="X26">
        <f t="shared" si="1"/>
        <v>70</v>
      </c>
      <c r="Y26">
        <f t="shared" si="2"/>
        <v>75</v>
      </c>
      <c r="Z26">
        <f t="shared" si="3"/>
        <v>71</v>
      </c>
      <c r="AA26">
        <f t="shared" si="4"/>
        <v>285</v>
      </c>
    </row>
    <row r="27" spans="3:27" ht="20" x14ac:dyDescent="0.25">
      <c r="C27" s="9"/>
      <c r="D27" s="9" t="s">
        <v>252</v>
      </c>
      <c r="E27" s="23">
        <v>3</v>
      </c>
      <c r="F27" s="12" t="s">
        <v>164</v>
      </c>
      <c r="G27" s="9">
        <v>-3</v>
      </c>
      <c r="H27" s="9">
        <v>-1</v>
      </c>
      <c r="I27" s="9" t="s">
        <v>191</v>
      </c>
      <c r="J27" s="9">
        <v>69</v>
      </c>
      <c r="K27" s="9">
        <v>70</v>
      </c>
      <c r="L27" s="9">
        <v>75</v>
      </c>
      <c r="M27" s="9">
        <v>71</v>
      </c>
      <c r="N27" s="9">
        <v>285</v>
      </c>
      <c r="T27" s="15">
        <v>18</v>
      </c>
      <c r="U27" s="16" t="s">
        <v>41</v>
      </c>
      <c r="V27" s="20" t="s">
        <v>41</v>
      </c>
      <c r="W27">
        <f t="shared" si="0"/>
        <v>79</v>
      </c>
      <c r="X27">
        <f t="shared" si="1"/>
        <v>68</v>
      </c>
      <c r="Y27">
        <f t="shared" si="2"/>
        <v>80</v>
      </c>
      <c r="Z27">
        <f t="shared" si="3"/>
        <v>85</v>
      </c>
      <c r="AA27">
        <f t="shared" si="4"/>
        <v>312</v>
      </c>
    </row>
    <row r="28" spans="3:27" ht="20" x14ac:dyDescent="0.25">
      <c r="C28" s="9"/>
      <c r="D28" s="9" t="s">
        <v>252</v>
      </c>
      <c r="E28" s="23">
        <v>3</v>
      </c>
      <c r="F28" s="12" t="s">
        <v>199</v>
      </c>
      <c r="G28" s="9">
        <v>-3</v>
      </c>
      <c r="H28" s="9">
        <v>-1</v>
      </c>
      <c r="I28" s="9" t="s">
        <v>191</v>
      </c>
      <c r="J28" s="9">
        <v>71</v>
      </c>
      <c r="K28" s="9">
        <v>68</v>
      </c>
      <c r="L28" s="9">
        <v>75</v>
      </c>
      <c r="M28" s="9">
        <v>71</v>
      </c>
      <c r="N28" s="9">
        <v>285</v>
      </c>
      <c r="T28" s="15">
        <v>19</v>
      </c>
      <c r="U28" s="16" t="s">
        <v>165</v>
      </c>
      <c r="V28" s="20" t="s">
        <v>165</v>
      </c>
      <c r="W28">
        <f t="shared" si="0"/>
        <v>75</v>
      </c>
      <c r="X28">
        <f t="shared" si="1"/>
        <v>75</v>
      </c>
      <c r="Y28">
        <f t="shared" si="2"/>
        <v>80</v>
      </c>
      <c r="Z28">
        <f t="shared" si="3"/>
        <v>85</v>
      </c>
      <c r="AA28">
        <f t="shared" si="4"/>
        <v>315</v>
      </c>
    </row>
    <row r="29" spans="3:27" ht="20" x14ac:dyDescent="0.25">
      <c r="C29" s="9"/>
      <c r="D29" s="9" t="s">
        <v>252</v>
      </c>
      <c r="E29" s="9" t="s">
        <v>248</v>
      </c>
      <c r="F29" s="12" t="s">
        <v>34</v>
      </c>
      <c r="G29" s="9">
        <v>-3</v>
      </c>
      <c r="H29" s="9" t="s">
        <v>201</v>
      </c>
      <c r="I29" s="9" t="s">
        <v>191</v>
      </c>
      <c r="J29" s="9">
        <v>72</v>
      </c>
      <c r="K29" s="9">
        <v>69</v>
      </c>
      <c r="L29" s="9">
        <v>72</v>
      </c>
      <c r="M29" s="9">
        <v>72</v>
      </c>
      <c r="N29" s="9">
        <v>285</v>
      </c>
      <c r="T29" s="15">
        <v>20</v>
      </c>
      <c r="U29" s="16" t="s">
        <v>75</v>
      </c>
      <c r="V29" s="20" t="s">
        <v>75</v>
      </c>
      <c r="W29">
        <f t="shared" si="0"/>
        <v>71</v>
      </c>
      <c r="X29">
        <f t="shared" si="1"/>
        <v>72</v>
      </c>
      <c r="Y29">
        <f t="shared" si="2"/>
        <v>77</v>
      </c>
      <c r="Z29">
        <f t="shared" si="3"/>
        <v>74</v>
      </c>
      <c r="AA29">
        <f t="shared" si="4"/>
        <v>294</v>
      </c>
    </row>
    <row r="30" spans="3:27" ht="20" x14ac:dyDescent="0.25">
      <c r="C30" s="9"/>
      <c r="D30" s="9" t="s">
        <v>253</v>
      </c>
      <c r="E30" s="23">
        <v>27</v>
      </c>
      <c r="F30" s="12" t="s">
        <v>37</v>
      </c>
      <c r="G30" s="9">
        <v>-2</v>
      </c>
      <c r="H30" s="9">
        <v>-6</v>
      </c>
      <c r="I30" s="9" t="s">
        <v>191</v>
      </c>
      <c r="J30" s="9">
        <v>73</v>
      </c>
      <c r="K30" s="9">
        <v>68</v>
      </c>
      <c r="L30" s="9">
        <v>79</v>
      </c>
      <c r="M30" s="9">
        <v>66</v>
      </c>
      <c r="N30" s="9">
        <v>286</v>
      </c>
      <c r="T30" s="15">
        <v>21</v>
      </c>
      <c r="U30" s="16" t="s">
        <v>21</v>
      </c>
      <c r="V30" s="20" t="s">
        <v>21</v>
      </c>
      <c r="W30">
        <f t="shared" si="0"/>
        <v>74</v>
      </c>
      <c r="X30">
        <f t="shared" si="1"/>
        <v>78</v>
      </c>
      <c r="Y30">
        <f t="shared" si="2"/>
        <v>80</v>
      </c>
      <c r="Z30">
        <f t="shared" si="3"/>
        <v>85</v>
      </c>
      <c r="AA30">
        <f t="shared" si="4"/>
        <v>317</v>
      </c>
    </row>
    <row r="31" spans="3:27" ht="20" x14ac:dyDescent="0.25">
      <c r="C31" s="9"/>
      <c r="D31" s="9" t="s">
        <v>253</v>
      </c>
      <c r="E31" s="23">
        <v>9</v>
      </c>
      <c r="F31" s="12" t="s">
        <v>166</v>
      </c>
      <c r="G31" s="9">
        <v>-2</v>
      </c>
      <c r="H31" s="9">
        <v>-3</v>
      </c>
      <c r="I31" s="9" t="s">
        <v>191</v>
      </c>
      <c r="J31" s="9">
        <v>71</v>
      </c>
      <c r="K31" s="9">
        <v>73</v>
      </c>
      <c r="L31" s="9">
        <v>73</v>
      </c>
      <c r="M31" s="9">
        <v>69</v>
      </c>
      <c r="N31" s="9">
        <v>286</v>
      </c>
      <c r="T31" s="15">
        <v>22</v>
      </c>
      <c r="U31" s="16" t="s">
        <v>23</v>
      </c>
      <c r="V31" s="20" t="s">
        <v>23</v>
      </c>
      <c r="W31">
        <f t="shared" si="0"/>
        <v>71</v>
      </c>
      <c r="X31">
        <f t="shared" si="1"/>
        <v>78</v>
      </c>
      <c r="Y31">
        <f t="shared" si="2"/>
        <v>80</v>
      </c>
      <c r="Z31">
        <f t="shared" si="3"/>
        <v>85</v>
      </c>
      <c r="AA31">
        <f t="shared" si="4"/>
        <v>314</v>
      </c>
    </row>
    <row r="32" spans="3:27" ht="20" x14ac:dyDescent="0.25">
      <c r="C32" s="9"/>
      <c r="D32" s="9" t="s">
        <v>253</v>
      </c>
      <c r="E32" s="23">
        <v>9</v>
      </c>
      <c r="F32" s="12" t="s">
        <v>209</v>
      </c>
      <c r="G32" s="9">
        <v>-2</v>
      </c>
      <c r="H32" s="9">
        <v>-3</v>
      </c>
      <c r="I32" s="9" t="s">
        <v>191</v>
      </c>
      <c r="J32" s="9">
        <v>73</v>
      </c>
      <c r="K32" s="9">
        <v>69</v>
      </c>
      <c r="L32" s="9">
        <v>75</v>
      </c>
      <c r="M32" s="9">
        <v>69</v>
      </c>
      <c r="N32" s="9">
        <v>286</v>
      </c>
      <c r="T32" s="15">
        <v>23</v>
      </c>
      <c r="U32" s="16" t="s">
        <v>42</v>
      </c>
      <c r="V32" s="20" t="s">
        <v>42</v>
      </c>
      <c r="W32">
        <f t="shared" si="0"/>
        <v>70</v>
      </c>
      <c r="X32">
        <f t="shared" si="1"/>
        <v>76</v>
      </c>
      <c r="Y32">
        <f t="shared" si="2"/>
        <v>75</v>
      </c>
      <c r="Z32">
        <f t="shared" si="3"/>
        <v>71</v>
      </c>
      <c r="AA32">
        <f t="shared" si="4"/>
        <v>292</v>
      </c>
    </row>
    <row r="33" spans="3:27" ht="20" x14ac:dyDescent="0.25">
      <c r="C33" s="9"/>
      <c r="D33" s="9" t="s">
        <v>253</v>
      </c>
      <c r="E33" s="23">
        <v>9</v>
      </c>
      <c r="F33" s="12" t="s">
        <v>58</v>
      </c>
      <c r="G33" s="9">
        <v>-2</v>
      </c>
      <c r="H33" s="9">
        <v>-3</v>
      </c>
      <c r="I33" s="9" t="s">
        <v>191</v>
      </c>
      <c r="J33" s="9">
        <v>73</v>
      </c>
      <c r="K33" s="9">
        <v>69</v>
      </c>
      <c r="L33" s="9">
        <v>75</v>
      </c>
      <c r="M33" s="9">
        <v>69</v>
      </c>
      <c r="N33" s="9">
        <v>286</v>
      </c>
      <c r="T33" s="15">
        <v>24</v>
      </c>
      <c r="U33" s="16" t="s">
        <v>38</v>
      </c>
      <c r="V33" s="20" t="s">
        <v>38</v>
      </c>
      <c r="W33">
        <f t="shared" si="0"/>
        <v>68</v>
      </c>
      <c r="X33">
        <f t="shared" si="1"/>
        <v>70</v>
      </c>
      <c r="Y33">
        <f t="shared" si="2"/>
        <v>70</v>
      </c>
      <c r="Z33">
        <f t="shared" si="3"/>
        <v>75</v>
      </c>
      <c r="AA33">
        <f t="shared" si="4"/>
        <v>283</v>
      </c>
    </row>
    <row r="34" spans="3:27" ht="20" x14ac:dyDescent="0.25">
      <c r="C34" s="9"/>
      <c r="D34" s="9" t="s">
        <v>253</v>
      </c>
      <c r="E34" s="9" t="s">
        <v>248</v>
      </c>
      <c r="F34" s="12" t="s">
        <v>169</v>
      </c>
      <c r="G34" s="9">
        <v>-2</v>
      </c>
      <c r="H34" s="9">
        <v>-1</v>
      </c>
      <c r="I34" s="9" t="s">
        <v>191</v>
      </c>
      <c r="J34" s="9">
        <v>74</v>
      </c>
      <c r="K34" s="9">
        <v>71</v>
      </c>
      <c r="L34" s="9">
        <v>70</v>
      </c>
      <c r="M34" s="9">
        <v>71</v>
      </c>
      <c r="N34" s="9">
        <v>286</v>
      </c>
      <c r="T34" s="15">
        <v>25</v>
      </c>
      <c r="U34" s="16" t="s">
        <v>22</v>
      </c>
      <c r="V34" s="20" t="s">
        <v>22</v>
      </c>
      <c r="W34">
        <f t="shared" si="0"/>
        <v>75</v>
      </c>
      <c r="X34">
        <f t="shared" si="1"/>
        <v>73</v>
      </c>
      <c r="Y34">
        <f t="shared" si="2"/>
        <v>80</v>
      </c>
      <c r="Z34">
        <f t="shared" si="3"/>
        <v>85</v>
      </c>
      <c r="AA34">
        <f t="shared" si="4"/>
        <v>313</v>
      </c>
    </row>
    <row r="35" spans="3:27" ht="20" x14ac:dyDescent="0.25">
      <c r="C35" s="9"/>
      <c r="D35" s="9" t="s">
        <v>253</v>
      </c>
      <c r="E35" s="24">
        <v>7</v>
      </c>
      <c r="F35" s="12" t="s">
        <v>32</v>
      </c>
      <c r="G35" s="9">
        <v>-2</v>
      </c>
      <c r="H35" s="9">
        <v>1</v>
      </c>
      <c r="I35" s="9" t="s">
        <v>191</v>
      </c>
      <c r="J35" s="9">
        <v>71</v>
      </c>
      <c r="K35" s="9">
        <v>69</v>
      </c>
      <c r="L35" s="9">
        <v>73</v>
      </c>
      <c r="M35" s="9">
        <v>73</v>
      </c>
      <c r="N35" s="9">
        <v>286</v>
      </c>
      <c r="T35" s="15">
        <v>26</v>
      </c>
      <c r="U35" s="16" t="s">
        <v>50</v>
      </c>
      <c r="V35" s="20" t="s">
        <v>50</v>
      </c>
      <c r="W35">
        <f t="shared" si="0"/>
        <v>70</v>
      </c>
      <c r="X35">
        <f t="shared" si="1"/>
        <v>70</v>
      </c>
      <c r="Y35">
        <f t="shared" si="2"/>
        <v>71</v>
      </c>
      <c r="Z35">
        <f t="shared" si="3"/>
        <v>72</v>
      </c>
      <c r="AA35">
        <f t="shared" si="4"/>
        <v>283</v>
      </c>
    </row>
    <row r="36" spans="3:27" ht="20" x14ac:dyDescent="0.25">
      <c r="C36" s="9"/>
      <c r="D36" s="9" t="s">
        <v>270</v>
      </c>
      <c r="E36" s="23">
        <v>3</v>
      </c>
      <c r="F36" s="12" t="s">
        <v>193</v>
      </c>
      <c r="G36" s="9">
        <v>-1</v>
      </c>
      <c r="H36" s="9">
        <v>-2</v>
      </c>
      <c r="I36" s="9" t="s">
        <v>191</v>
      </c>
      <c r="J36" s="9">
        <v>70</v>
      </c>
      <c r="K36" s="9">
        <v>74</v>
      </c>
      <c r="L36" s="9">
        <v>73</v>
      </c>
      <c r="M36" s="9">
        <v>70</v>
      </c>
      <c r="N36" s="9">
        <v>287</v>
      </c>
      <c r="T36" s="15">
        <v>27</v>
      </c>
      <c r="U36" s="16" t="s">
        <v>208</v>
      </c>
      <c r="V36" s="20" t="s">
        <v>208</v>
      </c>
      <c r="W36">
        <f t="shared" si="0"/>
        <v>76</v>
      </c>
      <c r="X36">
        <f t="shared" si="1"/>
        <v>68</v>
      </c>
      <c r="Y36">
        <f t="shared" si="2"/>
        <v>75</v>
      </c>
      <c r="Z36">
        <f t="shared" si="3"/>
        <v>74</v>
      </c>
      <c r="AA36">
        <f t="shared" si="4"/>
        <v>293</v>
      </c>
    </row>
    <row r="37" spans="3:27" ht="20" x14ac:dyDescent="0.25">
      <c r="C37" s="9"/>
      <c r="D37" s="9" t="s">
        <v>270</v>
      </c>
      <c r="E37" s="24">
        <v>2</v>
      </c>
      <c r="F37" s="12" t="s">
        <v>196</v>
      </c>
      <c r="G37" s="9">
        <v>-1</v>
      </c>
      <c r="H37" s="9">
        <v>-1</v>
      </c>
      <c r="I37" s="9" t="s">
        <v>191</v>
      </c>
      <c r="J37" s="9">
        <v>71</v>
      </c>
      <c r="K37" s="9">
        <v>71</v>
      </c>
      <c r="L37" s="9">
        <v>74</v>
      </c>
      <c r="M37" s="9">
        <v>71</v>
      </c>
      <c r="N37" s="9">
        <v>287</v>
      </c>
      <c r="T37" s="15">
        <v>28</v>
      </c>
      <c r="U37" s="16" t="s">
        <v>94</v>
      </c>
      <c r="V37" s="20" t="s">
        <v>94</v>
      </c>
      <c r="W37">
        <f t="shared" si="0"/>
        <v>78</v>
      </c>
      <c r="X37">
        <f t="shared" si="1"/>
        <v>71</v>
      </c>
      <c r="Y37">
        <f t="shared" si="2"/>
        <v>80</v>
      </c>
      <c r="Z37">
        <f t="shared" si="3"/>
        <v>85</v>
      </c>
      <c r="AA37">
        <f t="shared" si="4"/>
        <v>314</v>
      </c>
    </row>
    <row r="38" spans="3:27" ht="20" x14ac:dyDescent="0.25">
      <c r="C38" s="9"/>
      <c r="D38" s="9" t="s">
        <v>272</v>
      </c>
      <c r="E38" s="23">
        <v>1</v>
      </c>
      <c r="F38" s="12" t="s">
        <v>194</v>
      </c>
      <c r="G38" s="9" t="s">
        <v>201</v>
      </c>
      <c r="H38" s="9">
        <v>-1</v>
      </c>
      <c r="I38" s="9" t="s">
        <v>191</v>
      </c>
      <c r="J38" s="9">
        <v>71</v>
      </c>
      <c r="K38" s="9">
        <v>75</v>
      </c>
      <c r="L38" s="9">
        <v>71</v>
      </c>
      <c r="M38" s="9">
        <v>71</v>
      </c>
      <c r="N38" s="9">
        <v>288</v>
      </c>
      <c r="T38" s="15">
        <v>29</v>
      </c>
      <c r="U38" s="16" t="s">
        <v>224</v>
      </c>
      <c r="V38" s="20" t="s">
        <v>224</v>
      </c>
      <c r="W38">
        <f t="shared" si="0"/>
        <v>74</v>
      </c>
      <c r="X38">
        <f t="shared" si="1"/>
        <v>73</v>
      </c>
      <c r="Y38">
        <f t="shared" si="2"/>
        <v>80</v>
      </c>
      <c r="Z38">
        <f t="shared" si="3"/>
        <v>85</v>
      </c>
      <c r="AA38">
        <f t="shared" si="4"/>
        <v>312</v>
      </c>
    </row>
    <row r="39" spans="3:27" ht="20" x14ac:dyDescent="0.25">
      <c r="C39" s="9"/>
      <c r="D39" s="9" t="s">
        <v>272</v>
      </c>
      <c r="E39" s="23">
        <v>1</v>
      </c>
      <c r="F39" s="12" t="s">
        <v>28</v>
      </c>
      <c r="G39" s="9" t="s">
        <v>201</v>
      </c>
      <c r="H39" s="9">
        <v>-1</v>
      </c>
      <c r="I39" s="9" t="s">
        <v>191</v>
      </c>
      <c r="J39" s="9">
        <v>72</v>
      </c>
      <c r="K39" s="9">
        <v>72</v>
      </c>
      <c r="L39" s="9">
        <v>73</v>
      </c>
      <c r="M39" s="9">
        <v>71</v>
      </c>
      <c r="N39" s="9">
        <v>288</v>
      </c>
      <c r="T39" s="15">
        <v>30</v>
      </c>
      <c r="U39" s="16" t="s">
        <v>30</v>
      </c>
      <c r="V39" s="20" t="s">
        <v>30</v>
      </c>
      <c r="W39">
        <f t="shared" si="0"/>
        <v>72</v>
      </c>
      <c r="X39">
        <f t="shared" si="1"/>
        <v>76</v>
      </c>
      <c r="Y39">
        <f t="shared" si="2"/>
        <v>80</v>
      </c>
      <c r="Z39">
        <f t="shared" si="3"/>
        <v>85</v>
      </c>
      <c r="AA39">
        <f t="shared" si="4"/>
        <v>313</v>
      </c>
    </row>
    <row r="40" spans="3:27" ht="20" x14ac:dyDescent="0.25">
      <c r="C40" s="9"/>
      <c r="D40" s="9" t="s">
        <v>272</v>
      </c>
      <c r="E40" s="24">
        <v>4</v>
      </c>
      <c r="F40" s="12" t="s">
        <v>202</v>
      </c>
      <c r="G40" s="9" t="s">
        <v>201</v>
      </c>
      <c r="H40" s="9" t="s">
        <v>201</v>
      </c>
      <c r="I40" s="9" t="s">
        <v>191</v>
      </c>
      <c r="J40" s="9">
        <v>72</v>
      </c>
      <c r="K40" s="9">
        <v>74</v>
      </c>
      <c r="L40" s="9">
        <v>70</v>
      </c>
      <c r="M40" s="9">
        <v>72</v>
      </c>
      <c r="N40" s="9">
        <v>288</v>
      </c>
      <c r="T40" s="15">
        <v>31</v>
      </c>
      <c r="U40" s="16" t="s">
        <v>29</v>
      </c>
      <c r="V40" s="20" t="s">
        <v>29</v>
      </c>
      <c r="W40">
        <f t="shared" si="0"/>
        <v>71</v>
      </c>
      <c r="X40">
        <f t="shared" si="1"/>
        <v>70</v>
      </c>
      <c r="Y40">
        <f t="shared" si="2"/>
        <v>69</v>
      </c>
      <c r="Z40">
        <f t="shared" si="3"/>
        <v>69</v>
      </c>
      <c r="AA40">
        <f t="shared" si="4"/>
        <v>279</v>
      </c>
    </row>
    <row r="41" spans="3:27" ht="20" x14ac:dyDescent="0.25">
      <c r="C41" s="9"/>
      <c r="D41" s="9" t="s">
        <v>268</v>
      </c>
      <c r="E41" s="23">
        <v>20</v>
      </c>
      <c r="F41" s="12" t="s">
        <v>179</v>
      </c>
      <c r="G41" s="9">
        <v>1</v>
      </c>
      <c r="H41" s="9">
        <v>-4</v>
      </c>
      <c r="I41" s="9" t="s">
        <v>191</v>
      </c>
      <c r="J41" s="9">
        <v>72</v>
      </c>
      <c r="K41" s="9">
        <v>73</v>
      </c>
      <c r="L41" s="9">
        <v>76</v>
      </c>
      <c r="M41" s="9">
        <v>68</v>
      </c>
      <c r="N41" s="9">
        <v>289</v>
      </c>
      <c r="T41" s="15">
        <v>32</v>
      </c>
      <c r="U41" s="16" t="s">
        <v>28</v>
      </c>
      <c r="V41" s="20" t="s">
        <v>28</v>
      </c>
      <c r="W41">
        <f t="shared" si="0"/>
        <v>72</v>
      </c>
      <c r="X41">
        <f t="shared" si="1"/>
        <v>72</v>
      </c>
      <c r="Y41">
        <f t="shared" si="2"/>
        <v>73</v>
      </c>
      <c r="Z41">
        <f t="shared" si="3"/>
        <v>71</v>
      </c>
      <c r="AA41">
        <f t="shared" si="4"/>
        <v>288</v>
      </c>
    </row>
    <row r="42" spans="3:27" ht="20" x14ac:dyDescent="0.25">
      <c r="C42" s="9"/>
      <c r="D42" s="9" t="s">
        <v>268</v>
      </c>
      <c r="E42" s="24">
        <v>7</v>
      </c>
      <c r="F42" s="12" t="s">
        <v>170</v>
      </c>
      <c r="G42" s="9">
        <v>1</v>
      </c>
      <c r="H42" s="9">
        <v>1</v>
      </c>
      <c r="I42" s="9" t="s">
        <v>191</v>
      </c>
      <c r="J42" s="9">
        <v>72</v>
      </c>
      <c r="K42" s="9">
        <v>73</v>
      </c>
      <c r="L42" s="9">
        <v>71</v>
      </c>
      <c r="M42" s="9">
        <v>73</v>
      </c>
      <c r="N42" s="9">
        <v>289</v>
      </c>
      <c r="T42" s="15">
        <v>33</v>
      </c>
      <c r="U42" s="16" t="s">
        <v>16</v>
      </c>
      <c r="V42" s="20" t="s">
        <v>16</v>
      </c>
      <c r="W42">
        <f t="shared" si="0"/>
        <v>74</v>
      </c>
      <c r="X42">
        <f t="shared" si="1"/>
        <v>73</v>
      </c>
      <c r="Y42">
        <f t="shared" si="2"/>
        <v>80</v>
      </c>
      <c r="Z42">
        <f t="shared" si="3"/>
        <v>85</v>
      </c>
      <c r="AA42">
        <f t="shared" si="4"/>
        <v>312</v>
      </c>
    </row>
    <row r="43" spans="3:27" ht="20" x14ac:dyDescent="0.25">
      <c r="C43" s="9"/>
      <c r="D43" s="9" t="s">
        <v>268</v>
      </c>
      <c r="E43" s="24">
        <v>11</v>
      </c>
      <c r="F43" s="12" t="s">
        <v>175</v>
      </c>
      <c r="G43" s="9">
        <v>1</v>
      </c>
      <c r="H43" s="9">
        <v>2</v>
      </c>
      <c r="I43" s="9" t="s">
        <v>191</v>
      </c>
      <c r="J43" s="9">
        <v>71</v>
      </c>
      <c r="K43" s="9">
        <v>75</v>
      </c>
      <c r="L43" s="9">
        <v>69</v>
      </c>
      <c r="M43" s="9">
        <v>74</v>
      </c>
      <c r="N43" s="9">
        <v>289</v>
      </c>
      <c r="T43" s="15">
        <v>34</v>
      </c>
      <c r="U43" s="16" t="s">
        <v>211</v>
      </c>
      <c r="V43" s="20" t="s">
        <v>211</v>
      </c>
      <c r="W43">
        <f t="shared" si="0"/>
        <v>73</v>
      </c>
      <c r="X43">
        <f t="shared" si="1"/>
        <v>73</v>
      </c>
      <c r="Y43">
        <f t="shared" si="2"/>
        <v>72</v>
      </c>
      <c r="Z43">
        <f t="shared" si="3"/>
        <v>79</v>
      </c>
      <c r="AA43">
        <f t="shared" si="4"/>
        <v>297</v>
      </c>
    </row>
    <row r="44" spans="3:27" ht="20" x14ac:dyDescent="0.25">
      <c r="C44" s="9"/>
      <c r="D44" s="9" t="s">
        <v>268</v>
      </c>
      <c r="E44" s="24">
        <v>11</v>
      </c>
      <c r="F44" s="12" t="s">
        <v>200</v>
      </c>
      <c r="G44" s="9">
        <v>1</v>
      </c>
      <c r="H44" s="9">
        <v>2</v>
      </c>
      <c r="I44" s="9" t="s">
        <v>191</v>
      </c>
      <c r="J44" s="9">
        <v>73</v>
      </c>
      <c r="K44" s="9">
        <v>67</v>
      </c>
      <c r="L44" s="9">
        <v>75</v>
      </c>
      <c r="M44" s="9">
        <v>74</v>
      </c>
      <c r="N44" s="9">
        <v>289</v>
      </c>
      <c r="T44" s="15">
        <v>35</v>
      </c>
      <c r="U44" s="16" t="s">
        <v>51</v>
      </c>
      <c r="V44" s="20" t="s">
        <v>51</v>
      </c>
      <c r="W44">
        <f t="shared" si="0"/>
        <v>65</v>
      </c>
      <c r="X44">
        <f t="shared" si="1"/>
        <v>71</v>
      </c>
      <c r="Y44">
        <f t="shared" si="2"/>
        <v>75</v>
      </c>
      <c r="Z44">
        <f t="shared" si="3"/>
        <v>66</v>
      </c>
      <c r="AA44">
        <f t="shared" si="4"/>
        <v>277</v>
      </c>
    </row>
    <row r="45" spans="3:27" ht="20" x14ac:dyDescent="0.25">
      <c r="C45" s="9"/>
      <c r="D45" s="9" t="s">
        <v>271</v>
      </c>
      <c r="E45" s="23">
        <v>12</v>
      </c>
      <c r="F45" s="12" t="s">
        <v>33</v>
      </c>
      <c r="G45" s="9">
        <v>2</v>
      </c>
      <c r="H45" s="9">
        <v>-2</v>
      </c>
      <c r="I45" s="9" t="s">
        <v>191</v>
      </c>
      <c r="J45" s="9">
        <v>73</v>
      </c>
      <c r="K45" s="9">
        <v>71</v>
      </c>
      <c r="L45" s="9">
        <v>76</v>
      </c>
      <c r="M45" s="9">
        <v>70</v>
      </c>
      <c r="N45" s="9">
        <v>290</v>
      </c>
      <c r="T45" s="15">
        <v>36</v>
      </c>
      <c r="U45" s="16" t="s">
        <v>206</v>
      </c>
      <c r="V45" s="20" t="s">
        <v>206</v>
      </c>
      <c r="W45">
        <f t="shared" si="0"/>
        <v>71</v>
      </c>
      <c r="X45">
        <f t="shared" si="1"/>
        <v>70</v>
      </c>
      <c r="Y45">
        <f t="shared" si="2"/>
        <v>71</v>
      </c>
      <c r="Z45">
        <f t="shared" si="3"/>
        <v>69</v>
      </c>
      <c r="AA45">
        <f t="shared" si="4"/>
        <v>281</v>
      </c>
    </row>
    <row r="46" spans="3:27" ht="20" x14ac:dyDescent="0.25">
      <c r="C46" s="9"/>
      <c r="D46" s="9" t="s">
        <v>271</v>
      </c>
      <c r="E46" s="23">
        <v>6</v>
      </c>
      <c r="F46" s="12" t="s">
        <v>44</v>
      </c>
      <c r="G46" s="9">
        <v>2</v>
      </c>
      <c r="H46" s="9">
        <v>-1</v>
      </c>
      <c r="I46" s="9" t="s">
        <v>191</v>
      </c>
      <c r="J46" s="9">
        <v>74</v>
      </c>
      <c r="K46" s="9">
        <v>72</v>
      </c>
      <c r="L46" s="9">
        <v>73</v>
      </c>
      <c r="M46" s="9">
        <v>71</v>
      </c>
      <c r="N46" s="9">
        <v>290</v>
      </c>
      <c r="T46" s="15">
        <v>37</v>
      </c>
      <c r="U46" s="16" t="s">
        <v>166</v>
      </c>
      <c r="V46" s="20" t="s">
        <v>166</v>
      </c>
      <c r="W46">
        <f t="shared" si="0"/>
        <v>71</v>
      </c>
      <c r="X46">
        <f t="shared" si="1"/>
        <v>73</v>
      </c>
      <c r="Y46">
        <f t="shared" si="2"/>
        <v>73</v>
      </c>
      <c r="Z46">
        <f t="shared" si="3"/>
        <v>69</v>
      </c>
      <c r="AA46">
        <f t="shared" si="4"/>
        <v>286</v>
      </c>
    </row>
    <row r="47" spans="3:27" ht="20" x14ac:dyDescent="0.25">
      <c r="C47" s="9"/>
      <c r="D47" s="9" t="s">
        <v>271</v>
      </c>
      <c r="E47" s="23">
        <v>6</v>
      </c>
      <c r="F47" s="12" t="s">
        <v>55</v>
      </c>
      <c r="G47" s="9">
        <v>2</v>
      </c>
      <c r="H47" s="9">
        <v>-1</v>
      </c>
      <c r="I47" s="9" t="s">
        <v>191</v>
      </c>
      <c r="J47" s="9">
        <v>71</v>
      </c>
      <c r="K47" s="9">
        <v>71</v>
      </c>
      <c r="L47" s="9">
        <v>77</v>
      </c>
      <c r="M47" s="9">
        <v>71</v>
      </c>
      <c r="N47" s="9">
        <v>290</v>
      </c>
      <c r="T47" s="15">
        <v>38</v>
      </c>
      <c r="U47" s="16" t="s">
        <v>55</v>
      </c>
      <c r="V47" s="20" t="s">
        <v>55</v>
      </c>
      <c r="W47">
        <f t="shared" si="0"/>
        <v>71</v>
      </c>
      <c r="X47">
        <f t="shared" si="1"/>
        <v>71</v>
      </c>
      <c r="Y47">
        <f t="shared" si="2"/>
        <v>77</v>
      </c>
      <c r="Z47">
        <f t="shared" si="3"/>
        <v>71</v>
      </c>
      <c r="AA47">
        <f t="shared" si="4"/>
        <v>290</v>
      </c>
    </row>
    <row r="48" spans="3:27" ht="20" x14ac:dyDescent="0.25">
      <c r="C48" s="9"/>
      <c r="D48" s="9" t="s">
        <v>271</v>
      </c>
      <c r="E48" s="23">
        <v>1</v>
      </c>
      <c r="F48" s="12" t="s">
        <v>205</v>
      </c>
      <c r="G48" s="9">
        <v>2</v>
      </c>
      <c r="H48" s="9" t="s">
        <v>201</v>
      </c>
      <c r="I48" s="9" t="s">
        <v>191</v>
      </c>
      <c r="J48" s="9">
        <v>74</v>
      </c>
      <c r="K48" s="9">
        <v>72</v>
      </c>
      <c r="L48" s="9">
        <v>72</v>
      </c>
      <c r="M48" s="9">
        <v>72</v>
      </c>
      <c r="N48" s="9">
        <v>290</v>
      </c>
      <c r="T48" s="15">
        <v>39</v>
      </c>
      <c r="U48" s="16" t="s">
        <v>195</v>
      </c>
      <c r="V48" s="20" t="s">
        <v>195</v>
      </c>
      <c r="W48">
        <f t="shared" si="0"/>
        <v>71</v>
      </c>
      <c r="X48">
        <f t="shared" si="1"/>
        <v>73</v>
      </c>
      <c r="Y48">
        <f t="shared" si="2"/>
        <v>74</v>
      </c>
      <c r="Z48">
        <f t="shared" si="3"/>
        <v>73</v>
      </c>
      <c r="AA48">
        <f t="shared" si="4"/>
        <v>291</v>
      </c>
    </row>
    <row r="49" spans="3:27" ht="20" x14ac:dyDescent="0.25">
      <c r="C49" s="9"/>
      <c r="D49" s="9" t="s">
        <v>273</v>
      </c>
      <c r="E49" s="24">
        <v>3</v>
      </c>
      <c r="F49" s="12" t="s">
        <v>31</v>
      </c>
      <c r="G49" s="9">
        <v>3</v>
      </c>
      <c r="H49" s="9">
        <v>1</v>
      </c>
      <c r="I49" s="9" t="s">
        <v>191</v>
      </c>
      <c r="J49" s="9">
        <v>73</v>
      </c>
      <c r="K49" s="9">
        <v>71</v>
      </c>
      <c r="L49" s="9">
        <v>74</v>
      </c>
      <c r="M49" s="9">
        <v>73</v>
      </c>
      <c r="N49" s="9">
        <v>291</v>
      </c>
      <c r="T49" s="15">
        <v>40</v>
      </c>
      <c r="U49" s="16" t="s">
        <v>61</v>
      </c>
      <c r="V49" s="20" t="s">
        <v>61</v>
      </c>
      <c r="W49">
        <f t="shared" si="0"/>
        <v>77</v>
      </c>
      <c r="X49">
        <f t="shared" si="1"/>
        <v>72</v>
      </c>
      <c r="Y49">
        <f t="shared" si="2"/>
        <v>80</v>
      </c>
      <c r="Z49">
        <f t="shared" si="3"/>
        <v>85</v>
      </c>
      <c r="AA49">
        <f t="shared" si="4"/>
        <v>314</v>
      </c>
    </row>
    <row r="50" spans="3:27" ht="20" x14ac:dyDescent="0.25">
      <c r="C50" s="9"/>
      <c r="D50" s="9" t="s">
        <v>273</v>
      </c>
      <c r="E50" s="24">
        <v>3</v>
      </c>
      <c r="F50" s="12" t="s">
        <v>195</v>
      </c>
      <c r="G50" s="9">
        <v>3</v>
      </c>
      <c r="H50" s="9">
        <v>1</v>
      </c>
      <c r="I50" s="9" t="s">
        <v>191</v>
      </c>
      <c r="J50" s="9">
        <v>71</v>
      </c>
      <c r="K50" s="9">
        <v>73</v>
      </c>
      <c r="L50" s="9">
        <v>74</v>
      </c>
      <c r="M50" s="9">
        <v>73</v>
      </c>
      <c r="N50" s="9">
        <v>291</v>
      </c>
      <c r="T50" s="15">
        <v>41</v>
      </c>
      <c r="U50" s="16" t="s">
        <v>167</v>
      </c>
      <c r="V50" s="20" t="s">
        <v>218</v>
      </c>
      <c r="W50">
        <f t="shared" si="0"/>
        <v>74</v>
      </c>
      <c r="X50">
        <f t="shared" si="1"/>
        <v>72</v>
      </c>
      <c r="Y50">
        <f t="shared" si="2"/>
        <v>74</v>
      </c>
      <c r="Z50">
        <f t="shared" si="3"/>
        <v>75</v>
      </c>
      <c r="AA50">
        <f t="shared" si="4"/>
        <v>295</v>
      </c>
    </row>
    <row r="51" spans="3:27" ht="20" x14ac:dyDescent="0.25">
      <c r="C51" s="9"/>
      <c r="D51" s="9" t="s">
        <v>254</v>
      </c>
      <c r="E51" s="23">
        <v>10</v>
      </c>
      <c r="F51" s="12" t="s">
        <v>42</v>
      </c>
      <c r="G51" s="9">
        <v>4</v>
      </c>
      <c r="H51" s="9">
        <v>-1</v>
      </c>
      <c r="I51" s="9" t="s">
        <v>191</v>
      </c>
      <c r="J51" s="9">
        <v>70</v>
      </c>
      <c r="K51" s="9">
        <v>76</v>
      </c>
      <c r="L51" s="9">
        <v>75</v>
      </c>
      <c r="M51" s="9">
        <v>71</v>
      </c>
      <c r="N51" s="9">
        <v>292</v>
      </c>
      <c r="T51" s="15">
        <v>42</v>
      </c>
      <c r="U51" s="16" t="s">
        <v>214</v>
      </c>
      <c r="V51" s="20" t="s">
        <v>214</v>
      </c>
      <c r="W51">
        <f t="shared" si="0"/>
        <v>73</v>
      </c>
      <c r="X51">
        <f t="shared" si="1"/>
        <v>70</v>
      </c>
      <c r="Y51">
        <f t="shared" si="2"/>
        <v>75</v>
      </c>
      <c r="Z51">
        <f t="shared" si="3"/>
        <v>75</v>
      </c>
      <c r="AA51">
        <f t="shared" si="4"/>
        <v>293</v>
      </c>
    </row>
    <row r="52" spans="3:27" ht="20" x14ac:dyDescent="0.25">
      <c r="C52" s="9"/>
      <c r="D52" s="9" t="s">
        <v>254</v>
      </c>
      <c r="E52" s="9" t="s">
        <v>248</v>
      </c>
      <c r="F52" s="12" t="s">
        <v>221</v>
      </c>
      <c r="G52" s="9">
        <v>4</v>
      </c>
      <c r="H52" s="9">
        <v>1</v>
      </c>
      <c r="I52" s="9" t="s">
        <v>191</v>
      </c>
      <c r="J52" s="9">
        <v>75</v>
      </c>
      <c r="K52" s="9">
        <v>71</v>
      </c>
      <c r="L52" s="9">
        <v>73</v>
      </c>
      <c r="M52" s="9">
        <v>73</v>
      </c>
      <c r="N52" s="9">
        <v>292</v>
      </c>
      <c r="T52" s="15">
        <v>43</v>
      </c>
      <c r="U52" s="16" t="s">
        <v>197</v>
      </c>
      <c r="V52" s="20" t="s">
        <v>197</v>
      </c>
      <c r="W52">
        <f t="shared" si="0"/>
        <v>71</v>
      </c>
      <c r="X52">
        <f t="shared" si="1"/>
        <v>73</v>
      </c>
      <c r="Y52">
        <f t="shared" si="2"/>
        <v>70</v>
      </c>
      <c r="Z52">
        <f t="shared" si="3"/>
        <v>79</v>
      </c>
      <c r="AA52">
        <f t="shared" si="4"/>
        <v>293</v>
      </c>
    </row>
    <row r="53" spans="3:27" ht="20" x14ac:dyDescent="0.25">
      <c r="C53" s="9"/>
      <c r="D53" s="9" t="s">
        <v>254</v>
      </c>
      <c r="E53" s="9" t="s">
        <v>248</v>
      </c>
      <c r="F53" s="12" t="s">
        <v>216</v>
      </c>
      <c r="G53" s="9">
        <v>4</v>
      </c>
      <c r="H53" s="9">
        <v>1</v>
      </c>
      <c r="I53" s="9" t="s">
        <v>191</v>
      </c>
      <c r="J53" s="9">
        <v>74</v>
      </c>
      <c r="K53" s="9">
        <v>72</v>
      </c>
      <c r="L53" s="9">
        <v>73</v>
      </c>
      <c r="M53" s="9">
        <v>73</v>
      </c>
      <c r="N53" s="9">
        <v>292</v>
      </c>
      <c r="T53" s="15">
        <v>44</v>
      </c>
      <c r="U53" s="16" t="s">
        <v>64</v>
      </c>
      <c r="V53" s="20" t="s">
        <v>64</v>
      </c>
      <c r="W53">
        <f t="shared" si="0"/>
        <v>75</v>
      </c>
      <c r="X53">
        <f t="shared" si="1"/>
        <v>74</v>
      </c>
      <c r="Y53">
        <f t="shared" si="2"/>
        <v>80</v>
      </c>
      <c r="Z53">
        <f t="shared" si="3"/>
        <v>85</v>
      </c>
      <c r="AA53">
        <f t="shared" si="4"/>
        <v>314</v>
      </c>
    </row>
    <row r="54" spans="3:27" ht="20" x14ac:dyDescent="0.25">
      <c r="C54" s="9"/>
      <c r="D54" s="9" t="s">
        <v>254</v>
      </c>
      <c r="E54" s="24">
        <v>36</v>
      </c>
      <c r="F54" s="12" t="s">
        <v>54</v>
      </c>
      <c r="G54" s="9">
        <v>4</v>
      </c>
      <c r="H54" s="9">
        <v>9</v>
      </c>
      <c r="I54" s="9" t="s">
        <v>191</v>
      </c>
      <c r="J54" s="9">
        <v>71</v>
      </c>
      <c r="K54" s="9">
        <v>68</v>
      </c>
      <c r="L54" s="9">
        <v>72</v>
      </c>
      <c r="M54" s="9">
        <v>81</v>
      </c>
      <c r="N54" s="9">
        <v>292</v>
      </c>
      <c r="T54" s="15">
        <v>45</v>
      </c>
      <c r="U54" s="16" t="s">
        <v>168</v>
      </c>
      <c r="V54" s="20" t="s">
        <v>168</v>
      </c>
      <c r="W54">
        <f t="shared" si="0"/>
        <v>77</v>
      </c>
      <c r="X54">
        <f t="shared" si="1"/>
        <v>72</v>
      </c>
      <c r="Y54">
        <f t="shared" si="2"/>
        <v>80</v>
      </c>
      <c r="Z54">
        <f t="shared" si="3"/>
        <v>85</v>
      </c>
      <c r="AA54">
        <f t="shared" si="4"/>
        <v>314</v>
      </c>
    </row>
    <row r="55" spans="3:27" ht="20" x14ac:dyDescent="0.25">
      <c r="C55" s="9"/>
      <c r="D55" s="9" t="s">
        <v>274</v>
      </c>
      <c r="E55" s="24">
        <v>4</v>
      </c>
      <c r="F55" s="12" t="s">
        <v>208</v>
      </c>
      <c r="G55" s="9">
        <v>5</v>
      </c>
      <c r="H55" s="9">
        <v>2</v>
      </c>
      <c r="I55" s="9" t="s">
        <v>191</v>
      </c>
      <c r="J55" s="9">
        <v>76</v>
      </c>
      <c r="K55" s="9">
        <v>68</v>
      </c>
      <c r="L55" s="9">
        <v>75</v>
      </c>
      <c r="M55" s="9">
        <v>74</v>
      </c>
      <c r="N55" s="9">
        <v>293</v>
      </c>
      <c r="T55" s="15">
        <v>46</v>
      </c>
      <c r="U55" s="16" t="s">
        <v>231</v>
      </c>
      <c r="V55" s="20" t="s">
        <v>231</v>
      </c>
      <c r="W55">
        <f t="shared" si="0"/>
        <v>77</v>
      </c>
      <c r="X55">
        <f t="shared" si="1"/>
        <v>75</v>
      </c>
      <c r="Y55">
        <f t="shared" si="2"/>
        <v>80</v>
      </c>
      <c r="Z55">
        <f t="shared" si="3"/>
        <v>85</v>
      </c>
      <c r="AA55">
        <f t="shared" si="4"/>
        <v>317</v>
      </c>
    </row>
    <row r="56" spans="3:27" ht="20" x14ac:dyDescent="0.25">
      <c r="C56" s="9"/>
      <c r="D56" s="9" t="s">
        <v>274</v>
      </c>
      <c r="E56" s="24">
        <v>9</v>
      </c>
      <c r="F56" s="12" t="s">
        <v>214</v>
      </c>
      <c r="G56" s="9">
        <v>5</v>
      </c>
      <c r="H56" s="9">
        <v>3</v>
      </c>
      <c r="I56" s="9" t="s">
        <v>191</v>
      </c>
      <c r="J56" s="9">
        <v>73</v>
      </c>
      <c r="K56" s="9">
        <v>70</v>
      </c>
      <c r="L56" s="9">
        <v>75</v>
      </c>
      <c r="M56" s="9">
        <v>75</v>
      </c>
      <c r="N56" s="9">
        <v>293</v>
      </c>
      <c r="T56" s="15">
        <v>47</v>
      </c>
      <c r="U56" s="16" t="s">
        <v>169</v>
      </c>
      <c r="V56" s="20" t="s">
        <v>169</v>
      </c>
      <c r="W56">
        <f t="shared" si="0"/>
        <v>74</v>
      </c>
      <c r="X56">
        <f t="shared" si="1"/>
        <v>71</v>
      </c>
      <c r="Y56">
        <f t="shared" si="2"/>
        <v>70</v>
      </c>
      <c r="Z56">
        <f t="shared" si="3"/>
        <v>71</v>
      </c>
      <c r="AA56">
        <f t="shared" si="4"/>
        <v>286</v>
      </c>
    </row>
    <row r="57" spans="3:27" ht="20" x14ac:dyDescent="0.25">
      <c r="C57" s="9"/>
      <c r="D57" s="9" t="s">
        <v>274</v>
      </c>
      <c r="E57" s="24">
        <v>29</v>
      </c>
      <c r="F57" s="12" t="s">
        <v>197</v>
      </c>
      <c r="G57" s="9">
        <v>5</v>
      </c>
      <c r="H57" s="9">
        <v>7</v>
      </c>
      <c r="I57" s="9" t="s">
        <v>191</v>
      </c>
      <c r="J57" s="9">
        <v>71</v>
      </c>
      <c r="K57" s="9">
        <v>73</v>
      </c>
      <c r="L57" s="9">
        <v>70</v>
      </c>
      <c r="M57" s="9">
        <v>79</v>
      </c>
      <c r="N57" s="9">
        <v>293</v>
      </c>
      <c r="T57" s="15">
        <v>48</v>
      </c>
      <c r="U57" s="16" t="s">
        <v>193</v>
      </c>
      <c r="V57" s="20" t="s">
        <v>193</v>
      </c>
      <c r="W57">
        <f t="shared" si="0"/>
        <v>70</v>
      </c>
      <c r="X57">
        <f t="shared" si="1"/>
        <v>74</v>
      </c>
      <c r="Y57">
        <f t="shared" si="2"/>
        <v>73</v>
      </c>
      <c r="Z57">
        <f t="shared" si="3"/>
        <v>70</v>
      </c>
      <c r="AA57">
        <f t="shared" si="4"/>
        <v>287</v>
      </c>
    </row>
    <row r="58" spans="3:27" ht="20" x14ac:dyDescent="0.25">
      <c r="C58" s="9"/>
      <c r="D58" s="9">
        <v>49</v>
      </c>
      <c r="E58" s="24">
        <v>1</v>
      </c>
      <c r="F58" s="12" t="s">
        <v>75</v>
      </c>
      <c r="G58" s="9">
        <v>6</v>
      </c>
      <c r="H58" s="9">
        <v>2</v>
      </c>
      <c r="I58" s="9" t="s">
        <v>191</v>
      </c>
      <c r="J58" s="9">
        <v>71</v>
      </c>
      <c r="K58" s="9">
        <v>72</v>
      </c>
      <c r="L58" s="9">
        <v>77</v>
      </c>
      <c r="M58" s="9">
        <v>74</v>
      </c>
      <c r="N58" s="9">
        <v>294</v>
      </c>
      <c r="T58" s="15">
        <v>49</v>
      </c>
      <c r="U58" s="16" t="s">
        <v>194</v>
      </c>
      <c r="V58" s="20" t="s">
        <v>194</v>
      </c>
      <c r="W58">
        <f t="shared" si="0"/>
        <v>71</v>
      </c>
      <c r="X58">
        <f t="shared" si="1"/>
        <v>75</v>
      </c>
      <c r="Y58">
        <f t="shared" si="2"/>
        <v>71</v>
      </c>
      <c r="Z58">
        <f t="shared" si="3"/>
        <v>71</v>
      </c>
      <c r="AA58">
        <f t="shared" si="4"/>
        <v>288</v>
      </c>
    </row>
    <row r="59" spans="3:27" ht="20" x14ac:dyDescent="0.25">
      <c r="C59" s="9"/>
      <c r="D59" s="9">
        <v>50</v>
      </c>
      <c r="E59" s="24">
        <v>2</v>
      </c>
      <c r="F59" s="12" t="s">
        <v>218</v>
      </c>
      <c r="G59" s="9">
        <v>7</v>
      </c>
      <c r="H59" s="9">
        <v>3</v>
      </c>
      <c r="I59" s="9" t="s">
        <v>191</v>
      </c>
      <c r="J59" s="9">
        <v>74</v>
      </c>
      <c r="K59" s="9">
        <v>72</v>
      </c>
      <c r="L59" s="9">
        <v>74</v>
      </c>
      <c r="M59" s="9">
        <v>75</v>
      </c>
      <c r="N59" s="9">
        <v>295</v>
      </c>
      <c r="T59" s="15">
        <v>50</v>
      </c>
      <c r="U59" s="16" t="s">
        <v>170</v>
      </c>
      <c r="V59" s="20" t="s">
        <v>170</v>
      </c>
      <c r="W59">
        <f t="shared" si="0"/>
        <v>72</v>
      </c>
      <c r="X59">
        <f t="shared" si="1"/>
        <v>73</v>
      </c>
      <c r="Y59">
        <f t="shared" si="2"/>
        <v>71</v>
      </c>
      <c r="Z59">
        <f t="shared" si="3"/>
        <v>73</v>
      </c>
      <c r="AA59">
        <f t="shared" si="4"/>
        <v>289</v>
      </c>
    </row>
    <row r="60" spans="3:27" ht="20" x14ac:dyDescent="0.25">
      <c r="C60" s="9"/>
      <c r="D60" s="9">
        <v>51</v>
      </c>
      <c r="E60" s="24">
        <v>41</v>
      </c>
      <c r="F60" s="12" t="s">
        <v>210</v>
      </c>
      <c r="G60" s="9">
        <v>8</v>
      </c>
      <c r="H60" s="9">
        <v>12</v>
      </c>
      <c r="I60" s="9" t="s">
        <v>191</v>
      </c>
      <c r="J60" s="9">
        <v>73</v>
      </c>
      <c r="K60" s="9">
        <v>70</v>
      </c>
      <c r="L60" s="9">
        <v>69</v>
      </c>
      <c r="M60" s="9">
        <v>84</v>
      </c>
      <c r="N60" s="9">
        <v>296</v>
      </c>
      <c r="T60" s="15">
        <v>51</v>
      </c>
      <c r="U60" s="16" t="s">
        <v>171</v>
      </c>
      <c r="V60" s="20" t="s">
        <v>171</v>
      </c>
      <c r="W60">
        <f t="shared" si="0"/>
        <v>78</v>
      </c>
      <c r="X60">
        <f t="shared" si="1"/>
        <v>74</v>
      </c>
      <c r="Y60">
        <f t="shared" si="2"/>
        <v>80</v>
      </c>
      <c r="Z60">
        <f t="shared" si="3"/>
        <v>85</v>
      </c>
      <c r="AA60">
        <f t="shared" si="4"/>
        <v>317</v>
      </c>
    </row>
    <row r="61" spans="3:27" ht="20" x14ac:dyDescent="0.25">
      <c r="C61" s="9"/>
      <c r="D61" s="9" t="s">
        <v>255</v>
      </c>
      <c r="E61" s="24">
        <v>10</v>
      </c>
      <c r="F61" s="12" t="s">
        <v>97</v>
      </c>
      <c r="G61" s="9">
        <v>9</v>
      </c>
      <c r="H61" s="9">
        <v>6</v>
      </c>
      <c r="I61" s="9" t="s">
        <v>191</v>
      </c>
      <c r="J61" s="9">
        <v>72</v>
      </c>
      <c r="K61" s="9">
        <v>74</v>
      </c>
      <c r="L61" s="9">
        <v>73</v>
      </c>
      <c r="M61" s="9">
        <v>78</v>
      </c>
      <c r="N61" s="9">
        <v>297</v>
      </c>
      <c r="T61" s="15">
        <v>52</v>
      </c>
      <c r="U61" s="16" t="s">
        <v>232</v>
      </c>
      <c r="V61" s="20" t="s">
        <v>232</v>
      </c>
      <c r="W61">
        <f t="shared" si="0"/>
        <v>79</v>
      </c>
      <c r="X61">
        <f t="shared" si="1"/>
        <v>74</v>
      </c>
      <c r="Y61">
        <f t="shared" si="2"/>
        <v>80</v>
      </c>
      <c r="Z61">
        <f t="shared" si="3"/>
        <v>85</v>
      </c>
      <c r="AA61">
        <f t="shared" si="4"/>
        <v>318</v>
      </c>
    </row>
    <row r="62" spans="3:27" ht="20" x14ac:dyDescent="0.25">
      <c r="C62" s="9"/>
      <c r="D62" s="9" t="s">
        <v>255</v>
      </c>
      <c r="E62" s="24">
        <v>15</v>
      </c>
      <c r="F62" s="12" t="s">
        <v>211</v>
      </c>
      <c r="G62" s="9">
        <v>9</v>
      </c>
      <c r="H62" s="9">
        <v>7</v>
      </c>
      <c r="I62" s="9" t="s">
        <v>191</v>
      </c>
      <c r="J62" s="9">
        <v>73</v>
      </c>
      <c r="K62" s="9">
        <v>73</v>
      </c>
      <c r="L62" s="9">
        <v>72</v>
      </c>
      <c r="M62" s="9">
        <v>79</v>
      </c>
      <c r="N62" s="9">
        <v>297</v>
      </c>
      <c r="T62" s="15">
        <v>53</v>
      </c>
      <c r="U62" s="16" t="s">
        <v>196</v>
      </c>
      <c r="V62" s="20" t="s">
        <v>196</v>
      </c>
      <c r="W62">
        <f t="shared" si="0"/>
        <v>71</v>
      </c>
      <c r="X62">
        <f t="shared" si="1"/>
        <v>71</v>
      </c>
      <c r="Y62">
        <f t="shared" si="2"/>
        <v>74</v>
      </c>
      <c r="Z62">
        <f t="shared" si="3"/>
        <v>71</v>
      </c>
      <c r="AA62">
        <f t="shared" si="4"/>
        <v>287</v>
      </c>
    </row>
    <row r="63" spans="3:27" ht="20" x14ac:dyDescent="0.25">
      <c r="C63" s="9" t="s">
        <v>249</v>
      </c>
      <c r="E63"/>
      <c r="G63"/>
      <c r="H63"/>
      <c r="I63"/>
      <c r="J63"/>
      <c r="K63"/>
      <c r="L63"/>
      <c r="M63"/>
      <c r="N63"/>
      <c r="T63" s="15">
        <v>54</v>
      </c>
      <c r="U63" s="16" t="s">
        <v>24</v>
      </c>
      <c r="V63" s="20" t="s">
        <v>24</v>
      </c>
      <c r="W63">
        <f t="shared" si="0"/>
        <v>72</v>
      </c>
      <c r="X63">
        <f t="shared" si="1"/>
        <v>79</v>
      </c>
      <c r="Y63">
        <f t="shared" si="2"/>
        <v>80</v>
      </c>
      <c r="Z63">
        <f t="shared" si="3"/>
        <v>85</v>
      </c>
      <c r="AA63">
        <f t="shared" si="4"/>
        <v>316</v>
      </c>
    </row>
    <row r="64" spans="3:27" ht="20" x14ac:dyDescent="0.25">
      <c r="C64" s="9"/>
      <c r="D64" s="9" t="s">
        <v>248</v>
      </c>
      <c r="E64" s="9" t="s">
        <v>248</v>
      </c>
      <c r="F64" s="12" t="s">
        <v>41</v>
      </c>
      <c r="G64" s="9" t="s">
        <v>250</v>
      </c>
      <c r="H64" s="9" t="s">
        <v>248</v>
      </c>
      <c r="I64" s="9" t="s">
        <v>250</v>
      </c>
      <c r="J64" s="9">
        <v>79</v>
      </c>
      <c r="K64" s="9">
        <v>68</v>
      </c>
      <c r="L64" s="9">
        <f>+MAX(L$10:L$62)+1</f>
        <v>80</v>
      </c>
      <c r="M64" s="9">
        <f>+MAX(M$10:M$62)+1</f>
        <v>85</v>
      </c>
      <c r="N64">
        <v>312</v>
      </c>
      <c r="P64">
        <f>+SUM(J64:M64)</f>
        <v>312</v>
      </c>
      <c r="T64" s="15">
        <v>55</v>
      </c>
      <c r="U64" s="16" t="s">
        <v>172</v>
      </c>
      <c r="V64" s="20" t="s">
        <v>172</v>
      </c>
      <c r="W64">
        <f t="shared" si="0"/>
        <v>76</v>
      </c>
      <c r="X64">
        <f t="shared" si="1"/>
        <v>74</v>
      </c>
      <c r="Y64">
        <f t="shared" si="2"/>
        <v>80</v>
      </c>
      <c r="Z64">
        <f t="shared" si="3"/>
        <v>85</v>
      </c>
      <c r="AA64">
        <f t="shared" si="4"/>
        <v>315</v>
      </c>
    </row>
    <row r="65" spans="3:27" ht="20" x14ac:dyDescent="0.25">
      <c r="C65" s="9"/>
      <c r="D65" s="9" t="s">
        <v>248</v>
      </c>
      <c r="E65" s="9" t="s">
        <v>248</v>
      </c>
      <c r="F65" s="12" t="s">
        <v>220</v>
      </c>
      <c r="G65" s="9" t="s">
        <v>250</v>
      </c>
      <c r="H65" s="9" t="s">
        <v>248</v>
      </c>
      <c r="I65" s="9" t="s">
        <v>250</v>
      </c>
      <c r="J65" s="9">
        <v>75</v>
      </c>
      <c r="K65" s="9">
        <v>72</v>
      </c>
      <c r="L65" s="9">
        <f t="shared" ref="L65:M105" si="5">+MAX(L$10:L$62)+1</f>
        <v>80</v>
      </c>
      <c r="M65" s="9">
        <f t="shared" si="5"/>
        <v>85</v>
      </c>
      <c r="N65" s="9">
        <v>312</v>
      </c>
      <c r="P65">
        <f t="shared" ref="P65:P105" si="6">+SUM(J65:M65)</f>
        <v>312</v>
      </c>
      <c r="T65" s="15">
        <v>56</v>
      </c>
      <c r="U65" s="16" t="s">
        <v>200</v>
      </c>
      <c r="V65" s="20" t="s">
        <v>200</v>
      </c>
      <c r="W65">
        <f t="shared" si="0"/>
        <v>73</v>
      </c>
      <c r="X65">
        <f t="shared" si="1"/>
        <v>67</v>
      </c>
      <c r="Y65">
        <f t="shared" si="2"/>
        <v>75</v>
      </c>
      <c r="Z65">
        <f t="shared" si="3"/>
        <v>74</v>
      </c>
      <c r="AA65">
        <f t="shared" si="4"/>
        <v>289</v>
      </c>
    </row>
    <row r="66" spans="3:27" ht="20" x14ac:dyDescent="0.25">
      <c r="C66" s="9"/>
      <c r="D66" s="9" t="s">
        <v>248</v>
      </c>
      <c r="E66" s="9" t="s">
        <v>248</v>
      </c>
      <c r="F66" s="12" t="s">
        <v>224</v>
      </c>
      <c r="G66" s="9" t="s">
        <v>250</v>
      </c>
      <c r="H66" s="9" t="s">
        <v>248</v>
      </c>
      <c r="I66" s="9" t="s">
        <v>250</v>
      </c>
      <c r="J66" s="9">
        <v>74</v>
      </c>
      <c r="K66" s="9">
        <v>73</v>
      </c>
      <c r="L66" s="9">
        <f t="shared" si="5"/>
        <v>80</v>
      </c>
      <c r="M66" s="9">
        <f t="shared" si="5"/>
        <v>85</v>
      </c>
      <c r="N66" s="9">
        <v>312</v>
      </c>
      <c r="P66">
        <f t="shared" si="6"/>
        <v>312</v>
      </c>
      <c r="T66" s="15">
        <v>57</v>
      </c>
      <c r="U66" s="16" t="s">
        <v>216</v>
      </c>
      <c r="V66" s="20" t="s">
        <v>216</v>
      </c>
      <c r="W66">
        <f t="shared" si="0"/>
        <v>74</v>
      </c>
      <c r="X66">
        <f t="shared" si="1"/>
        <v>72</v>
      </c>
      <c r="Y66">
        <f t="shared" si="2"/>
        <v>73</v>
      </c>
      <c r="Z66">
        <f t="shared" si="3"/>
        <v>73</v>
      </c>
      <c r="AA66">
        <f t="shared" si="4"/>
        <v>292</v>
      </c>
    </row>
    <row r="67" spans="3:27" ht="20" x14ac:dyDescent="0.25">
      <c r="C67" s="9"/>
      <c r="D67" s="9" t="s">
        <v>248</v>
      </c>
      <c r="E67" s="9" t="s">
        <v>248</v>
      </c>
      <c r="F67" s="12" t="s">
        <v>215</v>
      </c>
      <c r="G67" s="9" t="s">
        <v>250</v>
      </c>
      <c r="H67" s="9" t="s">
        <v>248</v>
      </c>
      <c r="I67" s="9" t="s">
        <v>250</v>
      </c>
      <c r="J67" s="9">
        <v>74</v>
      </c>
      <c r="K67" s="9">
        <v>73</v>
      </c>
      <c r="L67" s="9">
        <f t="shared" si="5"/>
        <v>80</v>
      </c>
      <c r="M67" s="9">
        <f t="shared" si="5"/>
        <v>85</v>
      </c>
      <c r="N67" s="9">
        <v>312</v>
      </c>
      <c r="P67">
        <f t="shared" si="6"/>
        <v>312</v>
      </c>
      <c r="T67" s="15">
        <v>58</v>
      </c>
      <c r="U67" s="16" t="s">
        <v>173</v>
      </c>
      <c r="V67" s="20" t="s">
        <v>173</v>
      </c>
      <c r="W67">
        <f t="shared" si="0"/>
        <v>70</v>
      </c>
      <c r="X67">
        <f t="shared" si="1"/>
        <v>73</v>
      </c>
      <c r="Y67">
        <f t="shared" si="2"/>
        <v>73</v>
      </c>
      <c r="Z67">
        <f t="shared" si="3"/>
        <v>68</v>
      </c>
      <c r="AA67">
        <f t="shared" si="4"/>
        <v>284</v>
      </c>
    </row>
    <row r="68" spans="3:27" ht="20" x14ac:dyDescent="0.25">
      <c r="C68" s="9"/>
      <c r="D68" s="9" t="s">
        <v>248</v>
      </c>
      <c r="E68" s="9" t="s">
        <v>248</v>
      </c>
      <c r="F68" s="12" t="s">
        <v>16</v>
      </c>
      <c r="G68" s="9" t="s">
        <v>250</v>
      </c>
      <c r="H68" s="9" t="s">
        <v>248</v>
      </c>
      <c r="I68" s="9" t="s">
        <v>250</v>
      </c>
      <c r="J68" s="9">
        <v>74</v>
      </c>
      <c r="K68" s="9">
        <v>73</v>
      </c>
      <c r="L68" s="9">
        <f t="shared" si="5"/>
        <v>80</v>
      </c>
      <c r="M68" s="9">
        <f t="shared" si="5"/>
        <v>85</v>
      </c>
      <c r="N68" s="9">
        <v>312</v>
      </c>
      <c r="P68">
        <f t="shared" si="6"/>
        <v>312</v>
      </c>
      <c r="T68" s="15">
        <v>59</v>
      </c>
      <c r="U68" s="16" t="s">
        <v>174</v>
      </c>
      <c r="V68" s="20" t="s">
        <v>174</v>
      </c>
      <c r="W68">
        <f t="shared" si="0"/>
        <v>77</v>
      </c>
      <c r="X68">
        <f t="shared" si="1"/>
        <v>77</v>
      </c>
      <c r="Y68">
        <f t="shared" si="2"/>
        <v>80</v>
      </c>
      <c r="Z68">
        <f t="shared" si="3"/>
        <v>85</v>
      </c>
      <c r="AA68">
        <f t="shared" si="4"/>
        <v>319</v>
      </c>
    </row>
    <row r="69" spans="3:27" ht="20" x14ac:dyDescent="0.25">
      <c r="C69" s="9"/>
      <c r="D69" s="9" t="s">
        <v>248</v>
      </c>
      <c r="E69" s="9" t="s">
        <v>248</v>
      </c>
      <c r="F69" s="12" t="s">
        <v>213</v>
      </c>
      <c r="G69" s="9" t="s">
        <v>250</v>
      </c>
      <c r="H69" s="9" t="s">
        <v>248</v>
      </c>
      <c r="I69" s="9" t="s">
        <v>250</v>
      </c>
      <c r="J69" s="9">
        <v>76</v>
      </c>
      <c r="K69" s="9">
        <v>72</v>
      </c>
      <c r="L69" s="9">
        <f t="shared" si="5"/>
        <v>80</v>
      </c>
      <c r="M69" s="9">
        <f t="shared" si="5"/>
        <v>85</v>
      </c>
      <c r="N69" s="9">
        <v>313</v>
      </c>
      <c r="P69">
        <f t="shared" si="6"/>
        <v>313</v>
      </c>
      <c r="T69" s="15">
        <v>60</v>
      </c>
      <c r="U69" s="16" t="s">
        <v>25</v>
      </c>
      <c r="V69" s="20" t="s">
        <v>25</v>
      </c>
      <c r="W69">
        <f t="shared" si="0"/>
        <v>74</v>
      </c>
      <c r="X69">
        <f t="shared" si="1"/>
        <v>70</v>
      </c>
      <c r="Y69">
        <f t="shared" si="2"/>
        <v>69</v>
      </c>
      <c r="Z69">
        <f t="shared" si="3"/>
        <v>71</v>
      </c>
      <c r="AA69">
        <f t="shared" si="4"/>
        <v>284</v>
      </c>
    </row>
    <row r="70" spans="3:27" ht="20" x14ac:dyDescent="0.25">
      <c r="C70" s="9"/>
      <c r="D70" s="9" t="s">
        <v>248</v>
      </c>
      <c r="E70" s="9" t="s">
        <v>248</v>
      </c>
      <c r="F70" s="12" t="s">
        <v>226</v>
      </c>
      <c r="G70" s="9" t="s">
        <v>250</v>
      </c>
      <c r="H70" s="9" t="s">
        <v>248</v>
      </c>
      <c r="I70" s="9" t="s">
        <v>250</v>
      </c>
      <c r="J70" s="9">
        <v>76</v>
      </c>
      <c r="K70" s="9">
        <v>72</v>
      </c>
      <c r="L70" s="9">
        <f t="shared" si="5"/>
        <v>80</v>
      </c>
      <c r="M70" s="9">
        <f t="shared" si="5"/>
        <v>85</v>
      </c>
      <c r="N70" s="9">
        <v>313</v>
      </c>
      <c r="P70">
        <f t="shared" si="6"/>
        <v>313</v>
      </c>
      <c r="T70" s="15">
        <v>61</v>
      </c>
      <c r="U70" s="16" t="s">
        <v>97</v>
      </c>
      <c r="V70" s="20" t="s">
        <v>97</v>
      </c>
      <c r="W70">
        <f t="shared" si="0"/>
        <v>72</v>
      </c>
      <c r="X70">
        <f t="shared" si="1"/>
        <v>74</v>
      </c>
      <c r="Y70">
        <f t="shared" si="2"/>
        <v>73</v>
      </c>
      <c r="Z70">
        <f t="shared" si="3"/>
        <v>78</v>
      </c>
      <c r="AA70">
        <f t="shared" si="4"/>
        <v>297</v>
      </c>
    </row>
    <row r="71" spans="3:27" ht="20" x14ac:dyDescent="0.25">
      <c r="C71" s="9"/>
      <c r="D71" s="9" t="s">
        <v>248</v>
      </c>
      <c r="E71" s="9" t="s">
        <v>248</v>
      </c>
      <c r="F71" s="12" t="s">
        <v>203</v>
      </c>
      <c r="G71" s="9" t="s">
        <v>250</v>
      </c>
      <c r="H71" s="9" t="s">
        <v>248</v>
      </c>
      <c r="I71" s="9" t="s">
        <v>250</v>
      </c>
      <c r="J71" s="9">
        <v>75</v>
      </c>
      <c r="K71" s="9">
        <v>73</v>
      </c>
      <c r="L71" s="9">
        <f t="shared" si="5"/>
        <v>80</v>
      </c>
      <c r="M71" s="9">
        <f t="shared" si="5"/>
        <v>85</v>
      </c>
      <c r="N71" s="9">
        <v>313</v>
      </c>
      <c r="P71">
        <f t="shared" si="6"/>
        <v>313</v>
      </c>
      <c r="T71" s="15">
        <v>62</v>
      </c>
      <c r="U71" s="16" t="s">
        <v>31</v>
      </c>
      <c r="V71" s="20" t="s">
        <v>31</v>
      </c>
      <c r="W71">
        <f t="shared" si="0"/>
        <v>73</v>
      </c>
      <c r="X71">
        <f t="shared" si="1"/>
        <v>71</v>
      </c>
      <c r="Y71">
        <f t="shared" si="2"/>
        <v>74</v>
      </c>
      <c r="Z71">
        <f t="shared" si="3"/>
        <v>73</v>
      </c>
      <c r="AA71">
        <f t="shared" si="4"/>
        <v>291</v>
      </c>
    </row>
    <row r="72" spans="3:27" ht="20" x14ac:dyDescent="0.25">
      <c r="C72" s="9"/>
      <c r="D72" s="9" t="s">
        <v>248</v>
      </c>
      <c r="E72" s="9" t="s">
        <v>248</v>
      </c>
      <c r="F72" s="12" t="s">
        <v>219</v>
      </c>
      <c r="G72" s="9" t="s">
        <v>250</v>
      </c>
      <c r="H72" s="9" t="s">
        <v>248</v>
      </c>
      <c r="I72" s="9" t="s">
        <v>250</v>
      </c>
      <c r="J72" s="9">
        <v>75</v>
      </c>
      <c r="K72" s="9">
        <v>73</v>
      </c>
      <c r="L72" s="9">
        <f t="shared" si="5"/>
        <v>80</v>
      </c>
      <c r="M72" s="9">
        <f t="shared" si="5"/>
        <v>85</v>
      </c>
      <c r="N72" s="9">
        <v>313</v>
      </c>
      <c r="P72">
        <f t="shared" si="6"/>
        <v>313</v>
      </c>
      <c r="T72" s="15">
        <v>63</v>
      </c>
      <c r="U72" s="16" t="s">
        <v>210</v>
      </c>
      <c r="V72" s="20" t="s">
        <v>210</v>
      </c>
      <c r="W72">
        <f t="shared" si="0"/>
        <v>73</v>
      </c>
      <c r="X72">
        <f t="shared" si="1"/>
        <v>70</v>
      </c>
      <c r="Y72">
        <f t="shared" si="2"/>
        <v>69</v>
      </c>
      <c r="Z72">
        <f t="shared" si="3"/>
        <v>84</v>
      </c>
      <c r="AA72">
        <f t="shared" si="4"/>
        <v>296</v>
      </c>
    </row>
    <row r="73" spans="3:27" ht="20" x14ac:dyDescent="0.25">
      <c r="C73" s="9"/>
      <c r="D73" s="9" t="s">
        <v>248</v>
      </c>
      <c r="E73" s="9" t="s">
        <v>248</v>
      </c>
      <c r="F73" s="12" t="s">
        <v>22</v>
      </c>
      <c r="G73" s="9" t="s">
        <v>250</v>
      </c>
      <c r="H73" s="9" t="s">
        <v>248</v>
      </c>
      <c r="I73" s="9" t="s">
        <v>250</v>
      </c>
      <c r="J73" s="9">
        <v>75</v>
      </c>
      <c r="K73" s="9">
        <v>73</v>
      </c>
      <c r="L73" s="9">
        <f t="shared" si="5"/>
        <v>80</v>
      </c>
      <c r="M73" s="9">
        <f t="shared" si="5"/>
        <v>85</v>
      </c>
      <c r="N73" s="9">
        <v>313</v>
      </c>
      <c r="P73">
        <f t="shared" si="6"/>
        <v>313</v>
      </c>
      <c r="T73" s="15">
        <v>64</v>
      </c>
      <c r="U73" s="16" t="s">
        <v>230</v>
      </c>
      <c r="V73" s="20" t="s">
        <v>230</v>
      </c>
      <c r="W73">
        <f t="shared" si="0"/>
        <v>76</v>
      </c>
      <c r="X73">
        <f t="shared" si="1"/>
        <v>75</v>
      </c>
      <c r="Y73">
        <f t="shared" si="2"/>
        <v>80</v>
      </c>
      <c r="Z73">
        <f t="shared" si="3"/>
        <v>85</v>
      </c>
      <c r="AA73">
        <f t="shared" si="4"/>
        <v>316</v>
      </c>
    </row>
    <row r="74" spans="3:27" ht="20" x14ac:dyDescent="0.25">
      <c r="C74" s="9"/>
      <c r="D74" s="9" t="s">
        <v>248</v>
      </c>
      <c r="E74" s="9" t="s">
        <v>248</v>
      </c>
      <c r="F74" s="12" t="s">
        <v>204</v>
      </c>
      <c r="G74" s="9" t="s">
        <v>250</v>
      </c>
      <c r="H74" s="9" t="s">
        <v>248</v>
      </c>
      <c r="I74" s="9" t="s">
        <v>250</v>
      </c>
      <c r="J74" s="9">
        <v>73</v>
      </c>
      <c r="K74" s="9">
        <v>75</v>
      </c>
      <c r="L74" s="9">
        <f t="shared" si="5"/>
        <v>80</v>
      </c>
      <c r="M74" s="9">
        <f t="shared" si="5"/>
        <v>85</v>
      </c>
      <c r="N74" s="9">
        <v>313</v>
      </c>
      <c r="P74">
        <f t="shared" si="6"/>
        <v>313</v>
      </c>
      <c r="T74" s="15">
        <v>65</v>
      </c>
      <c r="U74" s="16" t="s">
        <v>226</v>
      </c>
      <c r="V74" s="20" t="s">
        <v>226</v>
      </c>
      <c r="W74">
        <f t="shared" si="0"/>
        <v>76</v>
      </c>
      <c r="X74">
        <f t="shared" si="1"/>
        <v>72</v>
      </c>
      <c r="Y74">
        <f t="shared" si="2"/>
        <v>80</v>
      </c>
      <c r="Z74">
        <f t="shared" si="3"/>
        <v>85</v>
      </c>
      <c r="AA74">
        <f t="shared" si="4"/>
        <v>313</v>
      </c>
    </row>
    <row r="75" spans="3:27" ht="20" x14ac:dyDescent="0.25">
      <c r="C75" s="9"/>
      <c r="D75" s="9" t="s">
        <v>248</v>
      </c>
      <c r="E75" s="9" t="s">
        <v>248</v>
      </c>
      <c r="F75" s="12" t="s">
        <v>30</v>
      </c>
      <c r="G75" s="9" t="s">
        <v>250</v>
      </c>
      <c r="H75" s="9" t="s">
        <v>248</v>
      </c>
      <c r="I75" s="9" t="s">
        <v>250</v>
      </c>
      <c r="J75" s="9">
        <v>72</v>
      </c>
      <c r="K75" s="9">
        <v>76</v>
      </c>
      <c r="L75" s="9">
        <f t="shared" si="5"/>
        <v>80</v>
      </c>
      <c r="M75" s="9">
        <f t="shared" si="5"/>
        <v>85</v>
      </c>
      <c r="N75" s="9">
        <v>313</v>
      </c>
      <c r="P75">
        <f t="shared" si="6"/>
        <v>313</v>
      </c>
      <c r="T75" s="15">
        <v>66</v>
      </c>
      <c r="U75" s="16" t="s">
        <v>205</v>
      </c>
      <c r="V75" s="20" t="s">
        <v>205</v>
      </c>
      <c r="W75">
        <f t="shared" ref="W75:W104" si="7">+VLOOKUP(V75,$F$10:$N$105,5,FALSE)</f>
        <v>74</v>
      </c>
      <c r="X75">
        <f t="shared" ref="X75:X104" si="8">+VLOOKUP(V75,$F$10:$N$105,6,FALSE)</f>
        <v>72</v>
      </c>
      <c r="Y75">
        <f t="shared" ref="Y75:Y104" si="9">+VLOOKUP(V75,$F$10:$N$105,7,FALSE)</f>
        <v>72</v>
      </c>
      <c r="Z75">
        <f t="shared" ref="Z75:Z104" si="10">+VLOOKUP($V75,$F$10:$N$105,8,FALSE)</f>
        <v>72</v>
      </c>
      <c r="AA75">
        <f t="shared" ref="AA75:AA104" si="11">+VLOOKUP(V75,$F$10:$N$105,9,FALSE)</f>
        <v>290</v>
      </c>
    </row>
    <row r="76" spans="3:27" ht="20" x14ac:dyDescent="0.25">
      <c r="C76" s="9"/>
      <c r="D76" s="9" t="s">
        <v>248</v>
      </c>
      <c r="E76" s="9" t="s">
        <v>248</v>
      </c>
      <c r="F76" s="12" t="s">
        <v>198</v>
      </c>
      <c r="G76" s="9" t="s">
        <v>250</v>
      </c>
      <c r="H76" s="9" t="s">
        <v>248</v>
      </c>
      <c r="I76" s="9" t="s">
        <v>250</v>
      </c>
      <c r="J76" s="9">
        <v>71</v>
      </c>
      <c r="K76" s="9">
        <v>77</v>
      </c>
      <c r="L76" s="9">
        <f t="shared" si="5"/>
        <v>80</v>
      </c>
      <c r="M76" s="9">
        <f t="shared" si="5"/>
        <v>85</v>
      </c>
      <c r="N76" s="9">
        <v>313</v>
      </c>
      <c r="P76">
        <f t="shared" si="6"/>
        <v>313</v>
      </c>
      <c r="T76" s="15">
        <v>67</v>
      </c>
      <c r="U76" s="16" t="s">
        <v>238</v>
      </c>
      <c r="V76" s="20" t="s">
        <v>212</v>
      </c>
      <c r="W76">
        <f t="shared" si="7"/>
        <v>74</v>
      </c>
      <c r="X76">
        <f t="shared" si="8"/>
        <v>79</v>
      </c>
      <c r="Y76">
        <f t="shared" si="9"/>
        <v>80</v>
      </c>
      <c r="Z76">
        <f t="shared" si="10"/>
        <v>85</v>
      </c>
      <c r="AA76">
        <f t="shared" si="11"/>
        <v>318</v>
      </c>
    </row>
    <row r="77" spans="3:27" ht="20" x14ac:dyDescent="0.25">
      <c r="C77" s="9"/>
      <c r="D77" s="9" t="s">
        <v>248</v>
      </c>
      <c r="E77" s="9" t="s">
        <v>248</v>
      </c>
      <c r="F77" s="12" t="s">
        <v>94</v>
      </c>
      <c r="G77" s="9" t="s">
        <v>250</v>
      </c>
      <c r="H77" s="9" t="s">
        <v>248</v>
      </c>
      <c r="I77" s="9" t="s">
        <v>250</v>
      </c>
      <c r="J77" s="9">
        <v>78</v>
      </c>
      <c r="K77" s="9">
        <v>71</v>
      </c>
      <c r="L77" s="9">
        <f t="shared" si="5"/>
        <v>80</v>
      </c>
      <c r="M77" s="9">
        <f t="shared" si="5"/>
        <v>85</v>
      </c>
      <c r="N77" s="9">
        <v>314</v>
      </c>
      <c r="P77">
        <f t="shared" si="6"/>
        <v>314</v>
      </c>
      <c r="T77" s="15">
        <v>68</v>
      </c>
      <c r="U77" s="16" t="s">
        <v>175</v>
      </c>
      <c r="V77" s="20" t="s">
        <v>175</v>
      </c>
      <c r="W77">
        <f t="shared" si="7"/>
        <v>71</v>
      </c>
      <c r="X77">
        <f t="shared" si="8"/>
        <v>75</v>
      </c>
      <c r="Y77">
        <f t="shared" si="9"/>
        <v>69</v>
      </c>
      <c r="Z77">
        <f t="shared" si="10"/>
        <v>74</v>
      </c>
      <c r="AA77">
        <f t="shared" si="11"/>
        <v>289</v>
      </c>
    </row>
    <row r="78" spans="3:27" ht="20" x14ac:dyDescent="0.25">
      <c r="C78" s="9"/>
      <c r="D78" s="9" t="s">
        <v>248</v>
      </c>
      <c r="E78" s="9" t="s">
        <v>248</v>
      </c>
      <c r="F78" s="12" t="s">
        <v>61</v>
      </c>
      <c r="G78" s="9" t="s">
        <v>250</v>
      </c>
      <c r="H78" s="9" t="s">
        <v>248</v>
      </c>
      <c r="I78" s="9" t="s">
        <v>250</v>
      </c>
      <c r="J78" s="9">
        <v>77</v>
      </c>
      <c r="K78" s="9">
        <v>72</v>
      </c>
      <c r="L78" s="9">
        <f t="shared" si="5"/>
        <v>80</v>
      </c>
      <c r="M78" s="9">
        <f t="shared" si="5"/>
        <v>85</v>
      </c>
      <c r="N78" s="9">
        <v>314</v>
      </c>
      <c r="P78">
        <f t="shared" si="6"/>
        <v>314</v>
      </c>
      <c r="T78" s="15">
        <v>69</v>
      </c>
      <c r="U78" s="16" t="s">
        <v>225</v>
      </c>
      <c r="V78" s="20" t="s">
        <v>225</v>
      </c>
      <c r="W78">
        <f t="shared" si="7"/>
        <v>76</v>
      </c>
      <c r="X78">
        <f t="shared" si="8"/>
        <v>74</v>
      </c>
      <c r="Y78">
        <f t="shared" si="9"/>
        <v>80</v>
      </c>
      <c r="Z78">
        <f t="shared" si="10"/>
        <v>85</v>
      </c>
      <c r="AA78">
        <f t="shared" si="11"/>
        <v>315</v>
      </c>
    </row>
    <row r="79" spans="3:27" ht="20" x14ac:dyDescent="0.25">
      <c r="C79" s="9"/>
      <c r="D79" s="9" t="s">
        <v>248</v>
      </c>
      <c r="E79" s="9" t="s">
        <v>248</v>
      </c>
      <c r="F79" s="12" t="s">
        <v>168</v>
      </c>
      <c r="G79" s="9" t="s">
        <v>250</v>
      </c>
      <c r="H79" s="9" t="s">
        <v>248</v>
      </c>
      <c r="I79" s="9" t="s">
        <v>250</v>
      </c>
      <c r="J79" s="9">
        <v>77</v>
      </c>
      <c r="K79" s="9">
        <v>72</v>
      </c>
      <c r="L79" s="9">
        <f t="shared" si="5"/>
        <v>80</v>
      </c>
      <c r="M79" s="9">
        <f t="shared" si="5"/>
        <v>85</v>
      </c>
      <c r="N79" s="9">
        <v>314</v>
      </c>
      <c r="P79">
        <f t="shared" si="6"/>
        <v>314</v>
      </c>
      <c r="T79" s="15">
        <v>70</v>
      </c>
      <c r="U79" s="16" t="s">
        <v>222</v>
      </c>
      <c r="V79" s="20" t="s">
        <v>222</v>
      </c>
      <c r="W79">
        <f t="shared" si="7"/>
        <v>76</v>
      </c>
      <c r="X79">
        <f t="shared" si="8"/>
        <v>74</v>
      </c>
      <c r="Y79">
        <f t="shared" si="9"/>
        <v>80</v>
      </c>
      <c r="Z79">
        <f t="shared" si="10"/>
        <v>85</v>
      </c>
      <c r="AA79">
        <f t="shared" si="11"/>
        <v>315</v>
      </c>
    </row>
    <row r="80" spans="3:27" ht="20" x14ac:dyDescent="0.25">
      <c r="C80" s="9"/>
      <c r="D80" s="9" t="s">
        <v>248</v>
      </c>
      <c r="E80" s="9" t="s">
        <v>248</v>
      </c>
      <c r="F80" s="12" t="s">
        <v>64</v>
      </c>
      <c r="G80" s="9" t="s">
        <v>250</v>
      </c>
      <c r="H80" s="9" t="s">
        <v>248</v>
      </c>
      <c r="I80" s="9" t="s">
        <v>250</v>
      </c>
      <c r="J80" s="9">
        <v>75</v>
      </c>
      <c r="K80" s="9">
        <v>74</v>
      </c>
      <c r="L80" s="9">
        <f t="shared" si="5"/>
        <v>80</v>
      </c>
      <c r="M80" s="9">
        <f t="shared" si="5"/>
        <v>85</v>
      </c>
      <c r="N80" s="9">
        <v>314</v>
      </c>
      <c r="P80">
        <f t="shared" si="6"/>
        <v>314</v>
      </c>
      <c r="T80" s="15">
        <v>71</v>
      </c>
      <c r="U80" s="16" t="s">
        <v>176</v>
      </c>
      <c r="V80" s="20" t="s">
        <v>176</v>
      </c>
      <c r="W80">
        <f t="shared" si="7"/>
        <v>72</v>
      </c>
      <c r="X80">
        <f t="shared" si="8"/>
        <v>72</v>
      </c>
      <c r="Y80">
        <f t="shared" si="9"/>
        <v>70</v>
      </c>
      <c r="Z80">
        <f t="shared" si="10"/>
        <v>71</v>
      </c>
      <c r="AA80">
        <f t="shared" si="11"/>
        <v>285</v>
      </c>
    </row>
    <row r="81" spans="3:27" ht="20" x14ac:dyDescent="0.25">
      <c r="C81" s="9"/>
      <c r="D81" s="9" t="s">
        <v>248</v>
      </c>
      <c r="E81" s="9" t="s">
        <v>248</v>
      </c>
      <c r="F81" s="12" t="s">
        <v>20</v>
      </c>
      <c r="G81" s="9" t="s">
        <v>250</v>
      </c>
      <c r="H81" s="9" t="s">
        <v>248</v>
      </c>
      <c r="I81" s="9" t="s">
        <v>250</v>
      </c>
      <c r="J81" s="9">
        <v>74</v>
      </c>
      <c r="K81" s="9">
        <v>75</v>
      </c>
      <c r="L81" s="9">
        <f t="shared" si="5"/>
        <v>80</v>
      </c>
      <c r="M81" s="9">
        <f t="shared" si="5"/>
        <v>85</v>
      </c>
      <c r="N81" s="9">
        <v>314</v>
      </c>
      <c r="P81">
        <f t="shared" si="6"/>
        <v>314</v>
      </c>
      <c r="T81" s="15">
        <v>72</v>
      </c>
      <c r="U81" s="16" t="s">
        <v>220</v>
      </c>
      <c r="V81" s="20" t="s">
        <v>220</v>
      </c>
      <c r="W81">
        <f t="shared" si="7"/>
        <v>75</v>
      </c>
      <c r="X81">
        <f t="shared" si="8"/>
        <v>72</v>
      </c>
      <c r="Y81">
        <f t="shared" si="9"/>
        <v>80</v>
      </c>
      <c r="Z81">
        <f t="shared" si="10"/>
        <v>85</v>
      </c>
      <c r="AA81">
        <f t="shared" si="11"/>
        <v>312</v>
      </c>
    </row>
    <row r="82" spans="3:27" ht="20" x14ac:dyDescent="0.25">
      <c r="C82" s="9"/>
      <c r="D82" s="9" t="s">
        <v>248</v>
      </c>
      <c r="E82" s="9" t="s">
        <v>248</v>
      </c>
      <c r="F82" s="12" t="s">
        <v>23</v>
      </c>
      <c r="G82" s="9" t="s">
        <v>250</v>
      </c>
      <c r="H82" s="9" t="s">
        <v>248</v>
      </c>
      <c r="I82" s="9" t="s">
        <v>250</v>
      </c>
      <c r="J82" s="9">
        <v>71</v>
      </c>
      <c r="K82" s="9">
        <v>78</v>
      </c>
      <c r="L82" s="9">
        <f t="shared" si="5"/>
        <v>80</v>
      </c>
      <c r="M82" s="9">
        <f t="shared" si="5"/>
        <v>85</v>
      </c>
      <c r="N82" s="9">
        <v>314</v>
      </c>
      <c r="P82">
        <f t="shared" si="6"/>
        <v>314</v>
      </c>
      <c r="T82" s="15">
        <v>73</v>
      </c>
      <c r="U82" s="16" t="s">
        <v>76</v>
      </c>
      <c r="V82" s="20" t="s">
        <v>76</v>
      </c>
      <c r="W82">
        <f t="shared" si="7"/>
        <v>90</v>
      </c>
      <c r="X82">
        <f t="shared" si="8"/>
        <v>71</v>
      </c>
      <c r="Y82">
        <f t="shared" si="9"/>
        <v>80</v>
      </c>
      <c r="Z82">
        <f t="shared" si="10"/>
        <v>85</v>
      </c>
      <c r="AA82">
        <f t="shared" si="11"/>
        <v>326</v>
      </c>
    </row>
    <row r="83" spans="3:27" ht="20" x14ac:dyDescent="0.25">
      <c r="C83" s="9"/>
      <c r="D83" s="9" t="s">
        <v>248</v>
      </c>
      <c r="E83" s="9" t="s">
        <v>248</v>
      </c>
      <c r="F83" s="12" t="s">
        <v>222</v>
      </c>
      <c r="G83" s="9" t="s">
        <v>250</v>
      </c>
      <c r="H83" s="9" t="s">
        <v>248</v>
      </c>
      <c r="I83" s="9" t="s">
        <v>250</v>
      </c>
      <c r="J83" s="9">
        <v>76</v>
      </c>
      <c r="K83" s="9">
        <v>74</v>
      </c>
      <c r="L83" s="9">
        <f t="shared" si="5"/>
        <v>80</v>
      </c>
      <c r="M83" s="9">
        <f t="shared" si="5"/>
        <v>85</v>
      </c>
      <c r="N83" s="9">
        <v>315</v>
      </c>
      <c r="P83">
        <f t="shared" si="6"/>
        <v>315</v>
      </c>
      <c r="T83" s="15">
        <v>74</v>
      </c>
      <c r="U83" s="16" t="s">
        <v>209</v>
      </c>
      <c r="V83" s="20" t="s">
        <v>209</v>
      </c>
      <c r="W83">
        <f t="shared" si="7"/>
        <v>73</v>
      </c>
      <c r="X83">
        <f t="shared" si="8"/>
        <v>69</v>
      </c>
      <c r="Y83">
        <f t="shared" si="9"/>
        <v>75</v>
      </c>
      <c r="Z83">
        <f t="shared" si="10"/>
        <v>69</v>
      </c>
      <c r="AA83">
        <f t="shared" si="11"/>
        <v>286</v>
      </c>
    </row>
    <row r="84" spans="3:27" ht="20" x14ac:dyDescent="0.25">
      <c r="C84" s="9"/>
      <c r="D84" s="9" t="s">
        <v>248</v>
      </c>
      <c r="E84" s="9" t="s">
        <v>248</v>
      </c>
      <c r="F84" s="12" t="s">
        <v>172</v>
      </c>
      <c r="G84" s="9" t="s">
        <v>250</v>
      </c>
      <c r="H84" s="9" t="s">
        <v>248</v>
      </c>
      <c r="I84" s="9" t="s">
        <v>250</v>
      </c>
      <c r="J84" s="9">
        <v>76</v>
      </c>
      <c r="K84" s="9">
        <v>74</v>
      </c>
      <c r="L84" s="9">
        <f t="shared" si="5"/>
        <v>80</v>
      </c>
      <c r="M84" s="9">
        <f t="shared" si="5"/>
        <v>85</v>
      </c>
      <c r="N84" s="9">
        <v>315</v>
      </c>
      <c r="P84">
        <f t="shared" si="6"/>
        <v>315</v>
      </c>
      <c r="T84" s="15">
        <v>75</v>
      </c>
      <c r="U84" s="16" t="s">
        <v>239</v>
      </c>
      <c r="V84" s="20" t="s">
        <v>239</v>
      </c>
      <c r="W84">
        <f t="shared" si="7"/>
        <v>71</v>
      </c>
      <c r="X84">
        <f t="shared" si="8"/>
        <v>68</v>
      </c>
      <c r="Y84">
        <f t="shared" si="9"/>
        <v>75</v>
      </c>
      <c r="Z84">
        <f t="shared" si="10"/>
        <v>71</v>
      </c>
      <c r="AA84">
        <f t="shared" si="11"/>
        <v>285</v>
      </c>
    </row>
    <row r="85" spans="3:27" ht="20" x14ac:dyDescent="0.25">
      <c r="C85" s="9"/>
      <c r="D85" s="9" t="s">
        <v>248</v>
      </c>
      <c r="E85" s="9" t="s">
        <v>248</v>
      </c>
      <c r="F85" s="12" t="s">
        <v>225</v>
      </c>
      <c r="G85" s="9" t="s">
        <v>250</v>
      </c>
      <c r="H85" s="9" t="s">
        <v>248</v>
      </c>
      <c r="I85" s="9" t="s">
        <v>250</v>
      </c>
      <c r="J85" s="9">
        <v>76</v>
      </c>
      <c r="K85" s="9">
        <v>74</v>
      </c>
      <c r="L85" s="9">
        <f t="shared" si="5"/>
        <v>80</v>
      </c>
      <c r="M85" s="9">
        <f t="shared" si="5"/>
        <v>85</v>
      </c>
      <c r="N85" s="9">
        <v>315</v>
      </c>
      <c r="P85">
        <f t="shared" si="6"/>
        <v>315</v>
      </c>
      <c r="T85" s="15">
        <v>76</v>
      </c>
      <c r="U85" s="16" t="s">
        <v>177</v>
      </c>
      <c r="V85" s="20" t="s">
        <v>177</v>
      </c>
      <c r="W85">
        <f t="shared" si="7"/>
        <v>75</v>
      </c>
      <c r="X85">
        <f t="shared" si="8"/>
        <v>75</v>
      </c>
      <c r="Y85">
        <f t="shared" si="9"/>
        <v>80</v>
      </c>
      <c r="Z85">
        <f t="shared" si="10"/>
        <v>85</v>
      </c>
      <c r="AA85">
        <f t="shared" si="11"/>
        <v>315</v>
      </c>
    </row>
    <row r="86" spans="3:27" ht="20" x14ac:dyDescent="0.25">
      <c r="C86" s="9"/>
      <c r="D86" s="9" t="s">
        <v>248</v>
      </c>
      <c r="E86" s="9" t="s">
        <v>248</v>
      </c>
      <c r="F86" s="12" t="s">
        <v>177</v>
      </c>
      <c r="G86" s="9" t="s">
        <v>250</v>
      </c>
      <c r="H86" s="9" t="s">
        <v>248</v>
      </c>
      <c r="I86" s="9" t="s">
        <v>250</v>
      </c>
      <c r="J86" s="9">
        <v>75</v>
      </c>
      <c r="K86" s="9">
        <v>75</v>
      </c>
      <c r="L86" s="9">
        <f t="shared" si="5"/>
        <v>80</v>
      </c>
      <c r="M86" s="9">
        <f t="shared" si="5"/>
        <v>85</v>
      </c>
      <c r="N86" s="9">
        <v>315</v>
      </c>
      <c r="P86">
        <f t="shared" si="6"/>
        <v>315</v>
      </c>
      <c r="T86" s="15">
        <v>77</v>
      </c>
      <c r="U86" s="16" t="s">
        <v>178</v>
      </c>
      <c r="V86" s="20" t="s">
        <v>178</v>
      </c>
      <c r="W86">
        <f t="shared" si="7"/>
        <v>78</v>
      </c>
      <c r="X86">
        <f t="shared" si="8"/>
        <v>76</v>
      </c>
      <c r="Y86">
        <f t="shared" si="9"/>
        <v>80</v>
      </c>
      <c r="Z86">
        <f t="shared" si="10"/>
        <v>85</v>
      </c>
      <c r="AA86">
        <f t="shared" si="11"/>
        <v>319</v>
      </c>
    </row>
    <row r="87" spans="3:27" ht="20" x14ac:dyDescent="0.25">
      <c r="C87" s="9"/>
      <c r="D87" s="9" t="s">
        <v>248</v>
      </c>
      <c r="E87" s="9" t="s">
        <v>248</v>
      </c>
      <c r="F87" s="12" t="s">
        <v>165</v>
      </c>
      <c r="G87" s="9" t="s">
        <v>250</v>
      </c>
      <c r="H87" s="9" t="s">
        <v>248</v>
      </c>
      <c r="I87" s="9" t="s">
        <v>250</v>
      </c>
      <c r="J87" s="9">
        <v>75</v>
      </c>
      <c r="K87" s="9">
        <v>75</v>
      </c>
      <c r="L87" s="9">
        <f t="shared" si="5"/>
        <v>80</v>
      </c>
      <c r="M87" s="9">
        <f t="shared" si="5"/>
        <v>85</v>
      </c>
      <c r="N87" s="9">
        <v>315</v>
      </c>
      <c r="P87">
        <f t="shared" si="6"/>
        <v>315</v>
      </c>
      <c r="T87" s="15">
        <v>78</v>
      </c>
      <c r="U87" s="16" t="s">
        <v>88</v>
      </c>
      <c r="V87" s="20" t="s">
        <v>88</v>
      </c>
      <c r="W87">
        <f t="shared" si="7"/>
        <v>71</v>
      </c>
      <c r="X87">
        <f t="shared" si="8"/>
        <v>72</v>
      </c>
      <c r="Y87">
        <f t="shared" si="9"/>
        <v>74</v>
      </c>
      <c r="Z87">
        <f t="shared" si="10"/>
        <v>68</v>
      </c>
      <c r="AA87">
        <f t="shared" si="11"/>
        <v>285</v>
      </c>
    </row>
    <row r="88" spans="3:27" ht="20" x14ac:dyDescent="0.25">
      <c r="C88" s="9"/>
      <c r="D88" s="9" t="s">
        <v>248</v>
      </c>
      <c r="E88" s="9" t="s">
        <v>248</v>
      </c>
      <c r="F88" s="12" t="s">
        <v>217</v>
      </c>
      <c r="G88" s="9" t="s">
        <v>250</v>
      </c>
      <c r="H88" s="9" t="s">
        <v>248</v>
      </c>
      <c r="I88" s="9" t="s">
        <v>250</v>
      </c>
      <c r="J88" s="9">
        <v>73</v>
      </c>
      <c r="K88" s="9">
        <v>77</v>
      </c>
      <c r="L88" s="9">
        <f t="shared" si="5"/>
        <v>80</v>
      </c>
      <c r="M88" s="9">
        <f t="shared" si="5"/>
        <v>85</v>
      </c>
      <c r="N88" s="9">
        <v>315</v>
      </c>
      <c r="P88">
        <f t="shared" si="6"/>
        <v>315</v>
      </c>
      <c r="T88" s="15">
        <v>79</v>
      </c>
      <c r="U88" s="16" t="s">
        <v>204</v>
      </c>
      <c r="V88" s="20" t="s">
        <v>204</v>
      </c>
      <c r="W88">
        <f t="shared" si="7"/>
        <v>73</v>
      </c>
      <c r="X88">
        <f t="shared" si="8"/>
        <v>75</v>
      </c>
      <c r="Y88">
        <f t="shared" si="9"/>
        <v>80</v>
      </c>
      <c r="Z88">
        <f t="shared" si="10"/>
        <v>85</v>
      </c>
      <c r="AA88">
        <f t="shared" si="11"/>
        <v>313</v>
      </c>
    </row>
    <row r="89" spans="3:27" ht="20" x14ac:dyDescent="0.25">
      <c r="C89" s="9"/>
      <c r="D89" s="9" t="s">
        <v>248</v>
      </c>
      <c r="E89" s="9" t="s">
        <v>248</v>
      </c>
      <c r="F89" s="12" t="s">
        <v>229</v>
      </c>
      <c r="G89" s="9" t="s">
        <v>250</v>
      </c>
      <c r="H89" s="9" t="s">
        <v>248</v>
      </c>
      <c r="I89" s="9" t="s">
        <v>250</v>
      </c>
      <c r="J89" s="9">
        <v>77</v>
      </c>
      <c r="K89" s="9">
        <v>74</v>
      </c>
      <c r="L89" s="9">
        <f t="shared" si="5"/>
        <v>80</v>
      </c>
      <c r="M89" s="9">
        <f t="shared" si="5"/>
        <v>85</v>
      </c>
      <c r="N89" s="9">
        <v>316</v>
      </c>
      <c r="P89">
        <f t="shared" si="6"/>
        <v>316</v>
      </c>
      <c r="T89" s="15">
        <v>80</v>
      </c>
      <c r="U89" s="16" t="s">
        <v>235</v>
      </c>
      <c r="V89" s="20" t="s">
        <v>235</v>
      </c>
      <c r="W89">
        <f t="shared" si="7"/>
        <v>79</v>
      </c>
      <c r="X89">
        <f t="shared" si="8"/>
        <v>76</v>
      </c>
      <c r="Y89">
        <f t="shared" si="9"/>
        <v>80</v>
      </c>
      <c r="Z89">
        <f t="shared" si="10"/>
        <v>85</v>
      </c>
      <c r="AA89">
        <f t="shared" si="11"/>
        <v>320</v>
      </c>
    </row>
    <row r="90" spans="3:27" ht="20" x14ac:dyDescent="0.25">
      <c r="C90" s="9"/>
      <c r="D90" s="9" t="s">
        <v>248</v>
      </c>
      <c r="E90" s="9" t="s">
        <v>248</v>
      </c>
      <c r="F90" s="12" t="s">
        <v>230</v>
      </c>
      <c r="G90" s="9" t="s">
        <v>250</v>
      </c>
      <c r="H90" s="9" t="s">
        <v>248</v>
      </c>
      <c r="I90" s="9" t="s">
        <v>250</v>
      </c>
      <c r="J90" s="9">
        <v>76</v>
      </c>
      <c r="K90" s="9">
        <v>75</v>
      </c>
      <c r="L90" s="9">
        <f t="shared" si="5"/>
        <v>80</v>
      </c>
      <c r="M90" s="9">
        <f t="shared" si="5"/>
        <v>85</v>
      </c>
      <c r="N90" s="9">
        <v>316</v>
      </c>
      <c r="P90">
        <f t="shared" si="6"/>
        <v>316</v>
      </c>
      <c r="T90" s="15">
        <v>81</v>
      </c>
      <c r="U90" s="16" t="s">
        <v>221</v>
      </c>
      <c r="V90" s="20" t="s">
        <v>221</v>
      </c>
      <c r="W90">
        <f t="shared" si="7"/>
        <v>75</v>
      </c>
      <c r="X90">
        <f t="shared" si="8"/>
        <v>71</v>
      </c>
      <c r="Y90">
        <f t="shared" si="9"/>
        <v>73</v>
      </c>
      <c r="Z90">
        <f t="shared" si="10"/>
        <v>73</v>
      </c>
      <c r="AA90">
        <f t="shared" si="11"/>
        <v>292</v>
      </c>
    </row>
    <row r="91" spans="3:27" ht="20" x14ac:dyDescent="0.25">
      <c r="C91" s="9"/>
      <c r="D91" s="9" t="s">
        <v>248</v>
      </c>
      <c r="E91" s="9" t="s">
        <v>248</v>
      </c>
      <c r="F91" s="12" t="s">
        <v>24</v>
      </c>
      <c r="G91" s="9" t="s">
        <v>250</v>
      </c>
      <c r="H91" s="9" t="s">
        <v>248</v>
      </c>
      <c r="I91" s="9" t="s">
        <v>250</v>
      </c>
      <c r="J91" s="9">
        <v>72</v>
      </c>
      <c r="K91" s="9">
        <v>79</v>
      </c>
      <c r="L91" s="9">
        <f t="shared" si="5"/>
        <v>80</v>
      </c>
      <c r="M91" s="9">
        <f t="shared" si="5"/>
        <v>85</v>
      </c>
      <c r="N91" s="9">
        <v>316</v>
      </c>
      <c r="P91">
        <f t="shared" si="6"/>
        <v>316</v>
      </c>
      <c r="T91" s="15">
        <v>82</v>
      </c>
      <c r="U91" s="16" t="s">
        <v>179</v>
      </c>
      <c r="V91" s="20" t="s">
        <v>179</v>
      </c>
      <c r="W91">
        <f t="shared" si="7"/>
        <v>72</v>
      </c>
      <c r="X91">
        <f t="shared" si="8"/>
        <v>73</v>
      </c>
      <c r="Y91">
        <f t="shared" si="9"/>
        <v>76</v>
      </c>
      <c r="Z91">
        <f t="shared" si="10"/>
        <v>68</v>
      </c>
      <c r="AA91">
        <f t="shared" si="11"/>
        <v>289</v>
      </c>
    </row>
    <row r="92" spans="3:27" ht="20" x14ac:dyDescent="0.25">
      <c r="C92" s="9"/>
      <c r="D92" s="9" t="s">
        <v>248</v>
      </c>
      <c r="E92" s="9" t="s">
        <v>248</v>
      </c>
      <c r="F92" s="12" t="s">
        <v>233</v>
      </c>
      <c r="G92" s="9" t="s">
        <v>250</v>
      </c>
      <c r="H92" s="9" t="s">
        <v>248</v>
      </c>
      <c r="I92" s="9" t="s">
        <v>250</v>
      </c>
      <c r="J92" s="9">
        <v>79</v>
      </c>
      <c r="K92" s="9">
        <v>73</v>
      </c>
      <c r="L92" s="9">
        <f t="shared" si="5"/>
        <v>80</v>
      </c>
      <c r="M92" s="9">
        <f t="shared" si="5"/>
        <v>85</v>
      </c>
      <c r="N92" s="9">
        <v>317</v>
      </c>
      <c r="P92">
        <f t="shared" si="6"/>
        <v>317</v>
      </c>
      <c r="T92" s="15">
        <v>83</v>
      </c>
      <c r="U92" s="16" t="s">
        <v>240</v>
      </c>
      <c r="V92" s="20" t="s">
        <v>228</v>
      </c>
      <c r="W92">
        <f t="shared" si="7"/>
        <v>75</v>
      </c>
      <c r="X92">
        <f t="shared" si="8"/>
        <v>80</v>
      </c>
      <c r="Y92">
        <f t="shared" si="9"/>
        <v>80</v>
      </c>
      <c r="Z92">
        <f t="shared" si="10"/>
        <v>85</v>
      </c>
      <c r="AA92">
        <f t="shared" si="11"/>
        <v>320</v>
      </c>
    </row>
    <row r="93" spans="3:27" ht="20" x14ac:dyDescent="0.25">
      <c r="C93" s="9"/>
      <c r="D93" s="9" t="s">
        <v>248</v>
      </c>
      <c r="E93" s="9" t="s">
        <v>248</v>
      </c>
      <c r="F93" s="12" t="s">
        <v>171</v>
      </c>
      <c r="G93" s="9" t="s">
        <v>250</v>
      </c>
      <c r="H93" s="9" t="s">
        <v>248</v>
      </c>
      <c r="I93" s="9" t="s">
        <v>250</v>
      </c>
      <c r="J93" s="9">
        <v>78</v>
      </c>
      <c r="K93" s="9">
        <v>74</v>
      </c>
      <c r="L93" s="9">
        <f t="shared" si="5"/>
        <v>80</v>
      </c>
      <c r="M93" s="9">
        <f t="shared" si="5"/>
        <v>85</v>
      </c>
      <c r="N93" s="9">
        <v>317</v>
      </c>
      <c r="P93">
        <f t="shared" si="6"/>
        <v>317</v>
      </c>
      <c r="T93" s="15">
        <v>84</v>
      </c>
      <c r="U93" s="16" t="s">
        <v>241</v>
      </c>
      <c r="V93" s="20" t="s">
        <v>223</v>
      </c>
      <c r="W93">
        <f t="shared" si="7"/>
        <v>77</v>
      </c>
      <c r="X93">
        <f t="shared" si="8"/>
        <v>76</v>
      </c>
      <c r="Y93">
        <f t="shared" si="9"/>
        <v>80</v>
      </c>
      <c r="Z93">
        <f t="shared" si="10"/>
        <v>85</v>
      </c>
      <c r="AA93">
        <f t="shared" si="11"/>
        <v>318</v>
      </c>
    </row>
    <row r="94" spans="3:27" ht="20" x14ac:dyDescent="0.25">
      <c r="C94" s="9"/>
      <c r="D94" s="9" t="s">
        <v>248</v>
      </c>
      <c r="E94" s="9" t="s">
        <v>248</v>
      </c>
      <c r="F94" s="12" t="s">
        <v>231</v>
      </c>
      <c r="G94" s="9" t="s">
        <v>250</v>
      </c>
      <c r="H94" s="9" t="s">
        <v>248</v>
      </c>
      <c r="I94" s="9" t="s">
        <v>250</v>
      </c>
      <c r="J94" s="9">
        <v>77</v>
      </c>
      <c r="K94" s="9">
        <v>75</v>
      </c>
      <c r="L94" s="9">
        <f t="shared" si="5"/>
        <v>80</v>
      </c>
      <c r="M94" s="9">
        <f t="shared" si="5"/>
        <v>85</v>
      </c>
      <c r="N94" s="9">
        <v>317</v>
      </c>
      <c r="P94">
        <f t="shared" si="6"/>
        <v>317</v>
      </c>
      <c r="T94" s="15">
        <v>85</v>
      </c>
      <c r="U94" s="16" t="s">
        <v>203</v>
      </c>
      <c r="V94" s="20" t="s">
        <v>203</v>
      </c>
      <c r="W94">
        <f t="shared" si="7"/>
        <v>75</v>
      </c>
      <c r="X94">
        <f t="shared" si="8"/>
        <v>73</v>
      </c>
      <c r="Y94">
        <f t="shared" si="9"/>
        <v>80</v>
      </c>
      <c r="Z94">
        <f t="shared" si="10"/>
        <v>85</v>
      </c>
      <c r="AA94">
        <f t="shared" si="11"/>
        <v>313</v>
      </c>
    </row>
    <row r="95" spans="3:27" ht="20" x14ac:dyDescent="0.25">
      <c r="C95" s="9"/>
      <c r="D95" s="9" t="s">
        <v>248</v>
      </c>
      <c r="E95" s="9" t="s">
        <v>248</v>
      </c>
      <c r="F95" s="12" t="s">
        <v>21</v>
      </c>
      <c r="G95" s="9" t="s">
        <v>250</v>
      </c>
      <c r="H95" s="9" t="s">
        <v>248</v>
      </c>
      <c r="I95" s="9" t="s">
        <v>250</v>
      </c>
      <c r="J95" s="9">
        <v>74</v>
      </c>
      <c r="K95" s="9">
        <v>78</v>
      </c>
      <c r="L95" s="9">
        <f t="shared" si="5"/>
        <v>80</v>
      </c>
      <c r="M95" s="9">
        <f t="shared" si="5"/>
        <v>85</v>
      </c>
      <c r="N95" s="9">
        <v>317</v>
      </c>
      <c r="P95">
        <f t="shared" si="6"/>
        <v>317</v>
      </c>
      <c r="T95" s="15">
        <v>86</v>
      </c>
      <c r="U95" s="16" t="s">
        <v>242</v>
      </c>
      <c r="V95" s="20" t="s">
        <v>217</v>
      </c>
      <c r="W95">
        <f t="shared" si="7"/>
        <v>73</v>
      </c>
      <c r="X95">
        <f t="shared" si="8"/>
        <v>77</v>
      </c>
      <c r="Y95">
        <f t="shared" si="9"/>
        <v>80</v>
      </c>
      <c r="Z95">
        <f t="shared" si="10"/>
        <v>85</v>
      </c>
      <c r="AA95">
        <f t="shared" si="11"/>
        <v>315</v>
      </c>
    </row>
    <row r="96" spans="3:27" ht="20" x14ac:dyDescent="0.25">
      <c r="C96" s="9"/>
      <c r="D96" s="9" t="s">
        <v>248</v>
      </c>
      <c r="E96" s="9" t="s">
        <v>248</v>
      </c>
      <c r="F96" s="12" t="s">
        <v>232</v>
      </c>
      <c r="G96" s="9" t="s">
        <v>250</v>
      </c>
      <c r="H96" s="9" t="s">
        <v>248</v>
      </c>
      <c r="I96" s="9" t="s">
        <v>250</v>
      </c>
      <c r="J96" s="9">
        <v>79</v>
      </c>
      <c r="K96" s="9">
        <v>74</v>
      </c>
      <c r="L96" s="9">
        <f t="shared" si="5"/>
        <v>80</v>
      </c>
      <c r="M96" s="9">
        <f t="shared" si="5"/>
        <v>85</v>
      </c>
      <c r="N96" s="9">
        <v>318</v>
      </c>
      <c r="P96">
        <f t="shared" si="6"/>
        <v>318</v>
      </c>
      <c r="T96" s="15">
        <v>87</v>
      </c>
      <c r="U96" s="16" t="s">
        <v>243</v>
      </c>
      <c r="V96" s="20" t="s">
        <v>213</v>
      </c>
      <c r="W96">
        <f t="shared" si="7"/>
        <v>76</v>
      </c>
      <c r="X96">
        <f t="shared" si="8"/>
        <v>72</v>
      </c>
      <c r="Y96">
        <f t="shared" si="9"/>
        <v>80</v>
      </c>
      <c r="Z96">
        <f t="shared" si="10"/>
        <v>85</v>
      </c>
      <c r="AA96">
        <f t="shared" si="11"/>
        <v>313</v>
      </c>
    </row>
    <row r="97" spans="3:27" ht="20" x14ac:dyDescent="0.25">
      <c r="C97" s="9"/>
      <c r="D97" s="9" t="s">
        <v>248</v>
      </c>
      <c r="E97" s="9" t="s">
        <v>248</v>
      </c>
      <c r="F97" s="12" t="s">
        <v>223</v>
      </c>
      <c r="G97" s="9" t="s">
        <v>250</v>
      </c>
      <c r="H97" s="9" t="s">
        <v>248</v>
      </c>
      <c r="I97" s="9" t="s">
        <v>250</v>
      </c>
      <c r="J97" s="9">
        <v>77</v>
      </c>
      <c r="K97" s="9">
        <v>76</v>
      </c>
      <c r="L97" s="9">
        <f t="shared" si="5"/>
        <v>80</v>
      </c>
      <c r="M97" s="9">
        <f t="shared" si="5"/>
        <v>85</v>
      </c>
      <c r="N97" s="9">
        <v>318</v>
      </c>
      <c r="P97">
        <f t="shared" si="6"/>
        <v>318</v>
      </c>
      <c r="T97" s="15">
        <v>88</v>
      </c>
      <c r="U97" s="16" t="s">
        <v>215</v>
      </c>
      <c r="V97" s="20" t="s">
        <v>215</v>
      </c>
      <c r="W97">
        <f t="shared" si="7"/>
        <v>74</v>
      </c>
      <c r="X97">
        <f t="shared" si="8"/>
        <v>73</v>
      </c>
      <c r="Y97">
        <f t="shared" si="9"/>
        <v>80</v>
      </c>
      <c r="Z97">
        <f t="shared" si="10"/>
        <v>85</v>
      </c>
      <c r="AA97">
        <f t="shared" si="11"/>
        <v>312</v>
      </c>
    </row>
    <row r="98" spans="3:27" ht="20" x14ac:dyDescent="0.25">
      <c r="C98" s="9"/>
      <c r="D98" s="9" t="s">
        <v>248</v>
      </c>
      <c r="E98" s="9" t="s">
        <v>248</v>
      </c>
      <c r="F98" s="12" t="s">
        <v>212</v>
      </c>
      <c r="G98" s="9" t="s">
        <v>250</v>
      </c>
      <c r="H98" s="9" t="s">
        <v>248</v>
      </c>
      <c r="I98" s="9" t="s">
        <v>250</v>
      </c>
      <c r="J98" s="9">
        <v>74</v>
      </c>
      <c r="K98" s="9">
        <v>79</v>
      </c>
      <c r="L98" s="9">
        <f t="shared" si="5"/>
        <v>80</v>
      </c>
      <c r="M98" s="9">
        <f t="shared" si="5"/>
        <v>85</v>
      </c>
      <c r="N98" s="9">
        <v>318</v>
      </c>
      <c r="P98">
        <f t="shared" si="6"/>
        <v>318</v>
      </c>
      <c r="T98" s="15">
        <v>89</v>
      </c>
      <c r="U98" s="16" t="s">
        <v>244</v>
      </c>
      <c r="V98" s="20" t="s">
        <v>234</v>
      </c>
      <c r="W98">
        <f t="shared" si="7"/>
        <v>79</v>
      </c>
      <c r="X98">
        <f t="shared" si="8"/>
        <v>76</v>
      </c>
      <c r="Y98">
        <f t="shared" si="9"/>
        <v>80</v>
      </c>
      <c r="Z98">
        <f t="shared" si="10"/>
        <v>85</v>
      </c>
      <c r="AA98">
        <f t="shared" si="11"/>
        <v>320</v>
      </c>
    </row>
    <row r="99" spans="3:27" ht="20" x14ac:dyDescent="0.25">
      <c r="C99" s="9"/>
      <c r="D99" s="9" t="s">
        <v>248</v>
      </c>
      <c r="E99" s="9" t="s">
        <v>248</v>
      </c>
      <c r="F99" s="12" t="s">
        <v>178</v>
      </c>
      <c r="G99" s="9" t="s">
        <v>250</v>
      </c>
      <c r="H99" s="9" t="s">
        <v>248</v>
      </c>
      <c r="I99" s="9" t="s">
        <v>250</v>
      </c>
      <c r="J99" s="9">
        <v>78</v>
      </c>
      <c r="K99" s="9">
        <v>76</v>
      </c>
      <c r="L99" s="9">
        <f t="shared" si="5"/>
        <v>80</v>
      </c>
      <c r="M99" s="9">
        <f t="shared" si="5"/>
        <v>85</v>
      </c>
      <c r="N99" s="9">
        <v>319</v>
      </c>
      <c r="P99">
        <f t="shared" si="6"/>
        <v>319</v>
      </c>
      <c r="T99" s="15">
        <v>90</v>
      </c>
      <c r="U99" s="16" t="s">
        <v>198</v>
      </c>
      <c r="V99" s="20" t="s">
        <v>198</v>
      </c>
      <c r="W99">
        <f t="shared" si="7"/>
        <v>71</v>
      </c>
      <c r="X99">
        <f t="shared" si="8"/>
        <v>77</v>
      </c>
      <c r="Y99">
        <f t="shared" si="9"/>
        <v>80</v>
      </c>
      <c r="Z99">
        <f t="shared" si="10"/>
        <v>85</v>
      </c>
      <c r="AA99">
        <f t="shared" si="11"/>
        <v>313</v>
      </c>
    </row>
    <row r="100" spans="3:27" ht="19" x14ac:dyDescent="0.25">
      <c r="C100" s="9"/>
      <c r="D100" s="9" t="s">
        <v>248</v>
      </c>
      <c r="E100" s="9" t="s">
        <v>248</v>
      </c>
      <c r="F100" s="12" t="s">
        <v>174</v>
      </c>
      <c r="G100" s="9" t="s">
        <v>250</v>
      </c>
      <c r="H100" s="9" t="s">
        <v>248</v>
      </c>
      <c r="I100" s="9" t="s">
        <v>250</v>
      </c>
      <c r="J100" s="9">
        <v>77</v>
      </c>
      <c r="K100" s="9">
        <v>77</v>
      </c>
      <c r="L100" s="9">
        <f t="shared" si="5"/>
        <v>80</v>
      </c>
      <c r="M100" s="9">
        <f t="shared" si="5"/>
        <v>85</v>
      </c>
      <c r="N100" s="9">
        <v>319</v>
      </c>
      <c r="P100">
        <f t="shared" si="6"/>
        <v>319</v>
      </c>
      <c r="T100" s="15">
        <v>91</v>
      </c>
      <c r="U100" s="17" t="s">
        <v>219</v>
      </c>
      <c r="V100" s="21" t="s">
        <v>219</v>
      </c>
      <c r="W100">
        <f t="shared" si="7"/>
        <v>75</v>
      </c>
      <c r="X100">
        <f t="shared" si="8"/>
        <v>73</v>
      </c>
      <c r="Y100">
        <f t="shared" si="9"/>
        <v>80</v>
      </c>
      <c r="Z100">
        <f t="shared" si="10"/>
        <v>85</v>
      </c>
      <c r="AA100">
        <f t="shared" si="11"/>
        <v>313</v>
      </c>
    </row>
    <row r="101" spans="3:27" ht="19" x14ac:dyDescent="0.25">
      <c r="C101" s="9"/>
      <c r="D101" s="9" t="s">
        <v>248</v>
      </c>
      <c r="E101" s="9" t="s">
        <v>248</v>
      </c>
      <c r="F101" s="12" t="s">
        <v>227</v>
      </c>
      <c r="G101" s="9" t="s">
        <v>250</v>
      </c>
      <c r="H101" s="9" t="s">
        <v>248</v>
      </c>
      <c r="I101" s="9" t="s">
        <v>250</v>
      </c>
      <c r="J101" s="9">
        <v>76</v>
      </c>
      <c r="K101" s="9">
        <v>78</v>
      </c>
      <c r="L101" s="9">
        <f t="shared" si="5"/>
        <v>80</v>
      </c>
      <c r="M101" s="9">
        <f t="shared" si="5"/>
        <v>85</v>
      </c>
      <c r="N101" s="9">
        <v>319</v>
      </c>
      <c r="P101">
        <f t="shared" si="6"/>
        <v>319</v>
      </c>
      <c r="T101" s="15">
        <v>92</v>
      </c>
      <c r="U101" s="17" t="s">
        <v>233</v>
      </c>
      <c r="V101" s="21" t="s">
        <v>233</v>
      </c>
      <c r="W101">
        <f t="shared" si="7"/>
        <v>79</v>
      </c>
      <c r="X101">
        <f t="shared" si="8"/>
        <v>73</v>
      </c>
      <c r="Y101">
        <f t="shared" si="9"/>
        <v>80</v>
      </c>
      <c r="Z101">
        <f t="shared" si="10"/>
        <v>85</v>
      </c>
      <c r="AA101">
        <f t="shared" si="11"/>
        <v>317</v>
      </c>
    </row>
    <row r="102" spans="3:27" ht="19" x14ac:dyDescent="0.25">
      <c r="C102" s="9"/>
      <c r="D102" s="9" t="s">
        <v>248</v>
      </c>
      <c r="E102" s="9" t="s">
        <v>248</v>
      </c>
      <c r="F102" s="12" t="s">
        <v>235</v>
      </c>
      <c r="G102" s="9" t="s">
        <v>250</v>
      </c>
      <c r="H102" s="9" t="s">
        <v>248</v>
      </c>
      <c r="I102" s="9" t="s">
        <v>250</v>
      </c>
      <c r="J102" s="9">
        <v>79</v>
      </c>
      <c r="K102" s="9">
        <v>76</v>
      </c>
      <c r="L102" s="9">
        <f t="shared" si="5"/>
        <v>80</v>
      </c>
      <c r="M102" s="9">
        <f t="shared" si="5"/>
        <v>85</v>
      </c>
      <c r="N102" s="9">
        <v>320</v>
      </c>
      <c r="P102">
        <f t="shared" si="6"/>
        <v>320</v>
      </c>
      <c r="T102" s="15">
        <v>93</v>
      </c>
      <c r="U102" s="17" t="s">
        <v>245</v>
      </c>
      <c r="V102" s="21" t="s">
        <v>229</v>
      </c>
      <c r="W102">
        <f t="shared" si="7"/>
        <v>77</v>
      </c>
      <c r="X102">
        <f t="shared" si="8"/>
        <v>74</v>
      </c>
      <c r="Y102">
        <f t="shared" si="9"/>
        <v>80</v>
      </c>
      <c r="Z102">
        <f t="shared" si="10"/>
        <v>85</v>
      </c>
      <c r="AA102">
        <f t="shared" si="11"/>
        <v>316</v>
      </c>
    </row>
    <row r="103" spans="3:27" ht="19" x14ac:dyDescent="0.25">
      <c r="C103" s="9"/>
      <c r="D103" s="9" t="s">
        <v>248</v>
      </c>
      <c r="E103" s="9" t="s">
        <v>248</v>
      </c>
      <c r="F103" s="12" t="s">
        <v>234</v>
      </c>
      <c r="G103" s="9" t="s">
        <v>250</v>
      </c>
      <c r="H103" s="9" t="s">
        <v>248</v>
      </c>
      <c r="I103" s="9" t="s">
        <v>250</v>
      </c>
      <c r="J103" s="9">
        <v>79</v>
      </c>
      <c r="K103" s="9">
        <v>76</v>
      </c>
      <c r="L103" s="9">
        <f t="shared" si="5"/>
        <v>80</v>
      </c>
      <c r="M103" s="9">
        <f t="shared" si="5"/>
        <v>85</v>
      </c>
      <c r="N103" s="9">
        <v>320</v>
      </c>
      <c r="P103">
        <f t="shared" si="6"/>
        <v>320</v>
      </c>
      <c r="T103" s="15">
        <v>94</v>
      </c>
      <c r="U103" s="17" t="s">
        <v>246</v>
      </c>
      <c r="V103" s="21" t="s">
        <v>227</v>
      </c>
      <c r="W103">
        <f t="shared" si="7"/>
        <v>76</v>
      </c>
      <c r="X103">
        <f t="shared" si="8"/>
        <v>78</v>
      </c>
      <c r="Y103">
        <f t="shared" si="9"/>
        <v>80</v>
      </c>
      <c r="Z103">
        <f t="shared" si="10"/>
        <v>85</v>
      </c>
      <c r="AA103">
        <f t="shared" si="11"/>
        <v>319</v>
      </c>
    </row>
    <row r="104" spans="3:27" ht="19" x14ac:dyDescent="0.25">
      <c r="C104" s="9"/>
      <c r="D104" s="9" t="s">
        <v>248</v>
      </c>
      <c r="E104" s="9" t="s">
        <v>248</v>
      </c>
      <c r="F104" s="12" t="s">
        <v>228</v>
      </c>
      <c r="G104" s="9" t="s">
        <v>250</v>
      </c>
      <c r="H104" s="9" t="s">
        <v>248</v>
      </c>
      <c r="I104" s="9" t="s">
        <v>250</v>
      </c>
      <c r="J104" s="9">
        <v>75</v>
      </c>
      <c r="K104" s="9">
        <v>80</v>
      </c>
      <c r="L104" s="9">
        <f t="shared" si="5"/>
        <v>80</v>
      </c>
      <c r="M104" s="9">
        <f t="shared" si="5"/>
        <v>85</v>
      </c>
      <c r="N104" s="9">
        <v>320</v>
      </c>
      <c r="P104">
        <f t="shared" si="6"/>
        <v>320</v>
      </c>
      <c r="T104" s="15">
        <v>95</v>
      </c>
      <c r="U104" s="17" t="s">
        <v>180</v>
      </c>
      <c r="V104" s="21" t="s">
        <v>180</v>
      </c>
      <c r="W104">
        <f t="shared" si="7"/>
        <v>72</v>
      </c>
      <c r="X104">
        <f t="shared" si="8"/>
        <v>74</v>
      </c>
      <c r="Y104">
        <f t="shared" si="9"/>
        <v>66</v>
      </c>
      <c r="Z104">
        <f t="shared" si="10"/>
        <v>71</v>
      </c>
      <c r="AA104">
        <f t="shared" si="11"/>
        <v>283</v>
      </c>
    </row>
    <row r="105" spans="3:27" ht="19" x14ac:dyDescent="0.25">
      <c r="C105" s="9"/>
      <c r="D105" s="9" t="s">
        <v>248</v>
      </c>
      <c r="E105" s="9" t="s">
        <v>248</v>
      </c>
      <c r="F105" s="12" t="s">
        <v>76</v>
      </c>
      <c r="G105" s="9" t="s">
        <v>250</v>
      </c>
      <c r="H105" s="9" t="s">
        <v>248</v>
      </c>
      <c r="I105" s="9" t="s">
        <v>250</v>
      </c>
      <c r="J105" s="9">
        <v>90</v>
      </c>
      <c r="K105" s="9">
        <v>71</v>
      </c>
      <c r="L105" s="9">
        <f t="shared" si="5"/>
        <v>80</v>
      </c>
      <c r="M105" s="9">
        <f t="shared" si="5"/>
        <v>85</v>
      </c>
      <c r="N105" s="9">
        <v>326</v>
      </c>
      <c r="P105">
        <f t="shared" si="6"/>
        <v>326</v>
      </c>
      <c r="T105" s="15">
        <v>0</v>
      </c>
      <c r="U105" s="17" t="s">
        <v>26</v>
      </c>
      <c r="V105" s="21" t="s">
        <v>26</v>
      </c>
      <c r="W105">
        <f>+MAX(W10:W104)+1</f>
        <v>91</v>
      </c>
      <c r="X105">
        <f>+MAX(X10:X104)+1</f>
        <v>81</v>
      </c>
      <c r="Y105">
        <f>+MAX(Y10:Y104)+1</f>
        <v>81</v>
      </c>
      <c r="Z105">
        <f>+MAX(Z10:Z104)+1</f>
        <v>86</v>
      </c>
      <c r="AA105">
        <f>+MAX(AA10:AA104)+1</f>
        <v>327</v>
      </c>
    </row>
  </sheetData>
  <hyperlinks>
    <hyperlink ref="F10" r:id="rId1" display="https://www.espn.com/golf/player/_/id/569/justin-rose" xr:uid="{38DC0955-FA76-1B46-9132-3E89AD2B43D1}"/>
    <hyperlink ref="F11" r:id="rId2" display="https://www.espn.com/golf/player/_/id/3470/rory-mcilroy" xr:uid="{1657EB10-C35B-DD41-B71E-CFD51B904786}"/>
    <hyperlink ref="F12" r:id="rId3" display="https://www.espn.com/golf/player/_/id/5579/patrick-reed" xr:uid="{AF594DFE-3DAF-2C42-B026-DD9C3933BF3B}"/>
    <hyperlink ref="F13" r:id="rId4" display="https://www.espn.com/golf/player/_/id/9478/scottie-scheffler" xr:uid="{F64FA9F7-58DB-2A4B-8770-EC20E3778C78}"/>
    <hyperlink ref="F14" r:id="rId5" display="https://www.espn.com/golf/player/_/id/11382/sungjae-im" xr:uid="{C127C578-4E6E-DB46-8907-154DEB6576D9}"/>
    <hyperlink ref="F15" r:id="rId6" display="https://www.espn.com/golf/player/_/id/10046/bryson-dechambeau" xr:uid="{6D1BB595-8A54-A241-B2DB-59C5FF3B8CC2}"/>
    <hyperlink ref="F16" r:id="rId7" display="https://www.espn.com/golf/player/_/id/4375972/ludvig-aberg" xr:uid="{FBD4CE1B-50C5-E048-9968-B4435455804C}"/>
    <hyperlink ref="F17" r:id="rId8" display="https://www.espn.com/golf/player/_/id/686/zach-johnson" xr:uid="{8AB86B48-F875-7A41-8BCC-3038DAD1A216}"/>
    <hyperlink ref="F18" r:id="rId9" display="https://www.espn.com/golf/player/_/id/10140/xander-schauffele" xr:uid="{0D7408CB-7485-8D49-84BA-75A9DD5B6850}"/>
    <hyperlink ref="F19" r:id="rId10" display="https://www.espn.com/golf/player/_/id/1680/jason-day" xr:uid="{E532652D-4C52-2C44-9CFE-1CC8FE296696}"/>
    <hyperlink ref="F20" r:id="rId11" display="https://www.espn.com/golf/player/_/id/9126/corey-conners" xr:uid="{FF6EE961-FAE4-C449-990B-FC38CFB2EF18}"/>
    <hyperlink ref="F21" r:id="rId12" display="https://www.espn.com/golf/player/_/id/5408/harris-english" xr:uid="{B83BCDD8-D6A6-5149-8BAE-B3BF6641E020}"/>
    <hyperlink ref="F22" r:id="rId13" display="https://www.espn.com/golf/player/_/id/8973/max-homa" xr:uid="{597B8FA6-00F2-3A46-80A3-11054B3D3270}"/>
    <hyperlink ref="F23" r:id="rId14" display="https://www.espn.com/golf/player/_/id/780/bubba-watson" xr:uid="{FABDD23D-05B5-A84F-870D-EFD57C72F3E1}"/>
    <hyperlink ref="F24" r:id="rId15" display="https://www.espn.com/golf/player/_/id/9780/jon-rahm" xr:uid="{68351393-7B04-7D4C-A2D9-FAB806F3EA4B}"/>
    <hyperlink ref="F25" r:id="rId16" display="https://www.espn.com/golf/player/_/id/5467/jordan-spieth" xr:uid="{67C5369B-AED4-B746-A0E3-4E68A05B7A89}"/>
    <hyperlink ref="F26" r:id="rId17" display="https://www.espn.com/golf/player/_/id/6086/tom-hoge" xr:uid="{46C41E2E-9EAA-6046-AB16-69753DB71FDD}"/>
    <hyperlink ref="F27" r:id="rId18" display="https://www.espn.com/golf/player/_/id/5553/tyrrell-hatton" xr:uid="{51CACBDC-4837-584F-9937-EBED62E66B7A}"/>
    <hyperlink ref="F28" r:id="rId19" display="https://www.espn.com/golf/player/_/id/4901368/matt-mccarty" xr:uid="{D39BBAD2-4710-FD4A-81BB-7731C74B0D41}"/>
    <hyperlink ref="F29" r:id="rId20" display="https://www.espn.com/golf/player/_/id/10592/collin-morikawa" xr:uid="{B1B04621-2CE9-4D4A-8320-4C60D2456F63}"/>
    <hyperlink ref="F30" r:id="rId21" display="https://www.espn.com/golf/player/_/id/5860/hideki-matsuyama" xr:uid="{3ED3415C-B5D3-744E-BFFD-08FD128B7961}"/>
    <hyperlink ref="F31" r:id="rId22" display="https://www.espn.com/golf/player/_/id/9025/daniel-berger" xr:uid="{F0F10A61-B4F3-E04E-97E1-59CA8369CF12}"/>
    <hyperlink ref="F32" r:id="rId23" display="https://www.espn.com/golf/player/_/id/10058/davis-riley" xr:uid="{79EBCA55-6E07-A640-BE87-1F3D0D3F5FE1}"/>
    <hyperlink ref="F33" r:id="rId24" display="https://www.espn.com/golf/player/_/id/5539/tommy-fleetwood" xr:uid="{4B9504B2-9B6C-3940-88F7-DE5CF390DD91}"/>
    <hyperlink ref="F34" r:id="rId25" display="https://www.espn.com/golf/player/_/id/5285/byeong-hun-an" xr:uid="{285D3A91-9D2E-B14D-B66F-99AF4D40A647}"/>
    <hyperlink ref="F35" r:id="rId26" display="https://www.espn.com/golf/player/_/id/4364873/viktor-hovland" xr:uid="{36F5E2BE-542B-7440-AE64-96D9D2D71735}"/>
    <hyperlink ref="F36" r:id="rId27" display="https://www.espn.com/golf/player/_/id/10906/aaron-rai" xr:uid="{03F4313B-B3C5-CB46-8CBD-76186C8E95B1}"/>
    <hyperlink ref="F37" r:id="rId28" display="https://www.espn.com/golf/player/_/id/8974/michael-kim" xr:uid="{3CD4C612-C551-6D44-8619-A2E9F13822B6}"/>
    <hyperlink ref="F38" r:id="rId29" display="https://www.espn.com/golf/player/_/id/10054/denny-mccarthy" xr:uid="{A66E5B66-48B7-B949-9185-2527D25724BD}"/>
    <hyperlink ref="F39" r:id="rId30" display="https://www.espn.com/golf/player/_/id/10980/sahith-theegala" xr:uid="{A77BD95E-5ABD-D940-93B0-191DBE096C65}"/>
    <hyperlink ref="F40" r:id="rId31" display="https://www.espn.com/golf/player/_/id/11099/joaquin-niemann" xr:uid="{2ED5B1EF-D1DC-1E41-B28B-6114CABB7D97}"/>
    <hyperlink ref="F41" r:id="rId32" display="https://www.espn.com/golf/player/_/id/9525/brian-campbell" xr:uid="{0AF1E6ED-1656-7949-835A-14B8C4C8AF95}"/>
    <hyperlink ref="F42" r:id="rId33" display="https://www.espn.com/golf/player/_/id/9530/maverick-mcnealy" xr:uid="{E0848433-3710-564C-B61C-9B91067AFBFB}"/>
    <hyperlink ref="F43" r:id="rId34" display="https://www.espn.com/golf/player/_/id/11101/max-greyserman" xr:uid="{55F4E652-3D91-234D-9AD3-E604977EDEA7}"/>
    <hyperlink ref="F44" r:id="rId35" display="https://www.espn.com/golf/player/_/id/11253/rasmus-h%C3%B8jgaard" xr:uid="{7D437AB6-F543-1D4D-A4A2-7440D9AECA5F}"/>
    <hyperlink ref="F45" r:id="rId36" display="https://www.espn.com/golf/player/_/id/4848/justin-thomas" xr:uid="{09813CF0-7A70-9448-AF3A-431DFFEAC91D}"/>
    <hyperlink ref="F46" r:id="rId37" display="https://www.espn.com/golf/player/_/id/6007/patrick-cantlay" xr:uid="{95A5C7B2-1C60-2543-BFE1-3B1A1EC938CD}"/>
    <hyperlink ref="F47" r:id="rId38" display="https://www.espn.com/golf/player/_/id/1225/brian-harman" xr:uid="{B3D41AD6-7681-F645-B077-7A731492DA76}"/>
    <hyperlink ref="F48" r:id="rId39" display="https://www.espn.com/golf/player/_/id/1097/charl-schwartzel" xr:uid="{14020A5F-E90D-C341-8D4B-B9D9B8E620B4}"/>
    <hyperlink ref="F49" r:id="rId40" display="https://www.espn.com/golf/player/_/id/3792/nick-taylor" xr:uid="{B015DD0E-5A3B-BE41-9C33-86C49716E42A}"/>
    <hyperlink ref="F50" r:id="rId41" display="https://www.espn.com/golf/player/_/id/9037/matt-fitzpatrick" xr:uid="{AD16F348-B72F-384F-A9B8-D9E89F2C305C}"/>
    <hyperlink ref="F51" r:id="rId42" display="https://www.espn.com/golf/player/_/id/4419142/akshay-bhatia" xr:uid="{8CB3A001-3B59-2243-ABA9-6C2D5E5C6342}"/>
    <hyperlink ref="F52" r:id="rId43" display="https://www.espn.com/golf/player/_/id/4304/danny-willett" xr:uid="{341EE012-521D-6042-AA55-15E099F0A529}"/>
    <hyperlink ref="F53" r:id="rId44" display="https://www.espn.com/golf/player/_/id/10505/jt-poston" xr:uid="{680BD6E8-7496-BB4F-89ED-D3581F6384D9}"/>
    <hyperlink ref="F54" r:id="rId45" display="https://www.espn.com/golf/player/_/id/4587/shane-lowry" xr:uid="{4979F637-18E4-644A-AA2E-DC09EB28136D}"/>
    <hyperlink ref="F55" r:id="rId46" display="https://www.espn.com/golf/player/_/id/11119/wyndham-clark" xr:uid="{C81FE8FD-C9E2-3148-A016-6FE09E3D4516}"/>
    <hyperlink ref="F56" r:id="rId47" display="https://www.espn.com/golf/player/_/id/9938/sam-burns" xr:uid="{FCC4848F-A6E7-EC42-A0F5-9958A5F31B43}"/>
    <hyperlink ref="F57" r:id="rId48" display="https://www.espn.com/golf/player/_/id/4602218/davis-thompson" xr:uid="{635451D3-4A06-6844-A640-C67486C5C8F0}"/>
    <hyperlink ref="F58" r:id="rId49" display="https://www.espn.com/golf/player/_/id/4410932/min-woo-lee" xr:uid="{41B6A5EF-6FE7-8743-B360-23FFBFE695DD}"/>
    <hyperlink ref="F59" r:id="rId50" display="https://www.espn.com/golf/player/_/id/10166/jj-spaun" xr:uid="{3064D6CC-EEE1-9449-AFAC-FD896E97D0BE}"/>
    <hyperlink ref="F60" r:id="rId51" display="https://www.espn.com/golf/player/_/id/4408316/nicolas-echavarria" xr:uid="{26B90752-136A-1D4E-A374-B3A1E0ED7928}"/>
    <hyperlink ref="F61" r:id="rId52" display="https://www.espn.com/golf/player/_/id/6937/stephan-jaeger" xr:uid="{02B82EC9-32DB-DF4B-90F6-C0C431C9544D}"/>
    <hyperlink ref="F62" r:id="rId53" display="https://www.espn.com/golf/player/_/id/4602673/tom-kim" xr:uid="{899BB574-EA07-6D48-8942-1222436084E2}"/>
    <hyperlink ref="F64" r:id="rId54" display="https://www.espn.com/golf/player/_/id/5409/russell-henley" xr:uid="{B11B6C5A-3422-EF49-A716-13712FC0C31C}"/>
    <hyperlink ref="F65" r:id="rId55" display="https://www.espn.com/golf/player/_/id/3449/chris-kirk" xr:uid="{2EEE95BE-4AF5-6C4F-9B60-D076E6F7623B}"/>
    <hyperlink ref="F66" r:id="rId56" display="https://www.espn.com/golf/player/_/id/3448/dustin-johnson" xr:uid="{538F8882-D172-7F4C-9506-B981634C417D}"/>
    <hyperlink ref="F67" r:id="rId57" display="https://www.espn.com/golf/player/_/id/261/bernhard-langer" xr:uid="{A8D8F96F-E6E9-DD40-B7D5-55B80FC39589}"/>
    <hyperlink ref="F68" r:id="rId58" display="https://www.espn.com/golf/player/_/id/4513/keegan-bradley" xr:uid="{DA178633-F635-0446-B1BC-7D1EB1800B39}"/>
    <hyperlink ref="F69" r:id="rId59" display="https://www.espn.com/golf/player/_/id/5203536/justin-hastings" xr:uid="{C373774E-F108-9341-B9A8-493E9D4FA494}"/>
    <hyperlink ref="F70" r:id="rId60" display="https://www.espn.com/golf/player/_/id/4868733/joe-highsmith" xr:uid="{7755FDFF-7319-1B4A-9AF2-D9746469EFD5}"/>
    <hyperlink ref="F71" r:id="rId61" display="https://www.espn.com/golf/player/_/id/3683/rafael-campos" xr:uid="{43577119-A423-014F-A328-1563F9D8896E}"/>
    <hyperlink ref="F72" r:id="rId62" display="https://www.espn.com/golf/player/_/id/453/mike-weir" xr:uid="{52FB1107-5B7A-F641-B8E4-C824351EA1AA}"/>
    <hyperlink ref="F73" r:id="rId63" display="https://www.espn.com/golf/player/_/id/2230/tony-finau" xr:uid="{7DE03E85-C942-1B49-8E15-A0D58E33EB09}"/>
    <hyperlink ref="F74" r:id="rId64" display="https://www.espn.com/golf/player/_/id/10372/adam-schenk" xr:uid="{F5DEA37E-AA72-AE4E-BFCE-D7A199C877E2}"/>
    <hyperlink ref="F75" r:id="rId65" display="https://www.espn.com/golf/player/_/id/158/sergio-garcia" xr:uid="{980EF3A9-FDB3-1242-A0B7-301251D8620F}"/>
    <hyperlink ref="F76" r:id="rId66" display="https://www.espn.com/golf/player/_/id/91/fred-couples" xr:uid="{C138B6BD-BED9-E64A-B905-CC348BFC8359}"/>
    <hyperlink ref="F77" r:id="rId67" display="https://www.espn.com/golf/player/_/id/8961/sepp-straka" xr:uid="{AC1F38F1-E480-9642-B8CB-90CC72DA12FB}"/>
    <hyperlink ref="F78" r:id="rId68" display="https://www.espn.com/golf/player/_/id/388/adam-scott" xr:uid="{5BB291CF-B3B9-3D4D-A8D5-DD6ECAF265DC}"/>
    <hyperlink ref="F79" r:id="rId69" display="https://www.espn.com/golf/player/_/id/1651/billy-horschel" xr:uid="{95D38EB4-CD3E-F14E-9441-C0B38BC3A66A}"/>
    <hyperlink ref="F80" r:id="rId70" display="https://www.espn.com/golf/player/_/id/308/phil-mickelson" xr:uid="{5837B61E-16ED-284B-8941-8A4B2B61E040}"/>
    <hyperlink ref="F81" r:id="rId71" display="https://www.espn.com/golf/player/_/id/6798/brooks-koepka" xr:uid="{E3083D2B-53DC-2D47-925D-85AEB39038A7}"/>
    <hyperlink ref="F82" r:id="rId72" display="https://www.espn.com/golf/player/_/id/9131/cameron-smith" xr:uid="{2ABBED05-8582-3A45-BB1D-20B86965728F}"/>
    <hyperlink ref="F83" r:id="rId73" display="https://www.espn.com/golf/player/_/id/4425898/austin-eckroat" xr:uid="{CC02D5B4-75C6-2242-ABAB-6D3C7A88BB4F}"/>
    <hyperlink ref="F84" r:id="rId74" display="https://www.espn.com/golf/player/_/id/11250/nicolai-h%C3%B8jgaard" xr:uid="{97A5ED6A-5320-7E44-A66E-95612589CED2}"/>
    <hyperlink ref="F85" r:id="rId75" display="https://www.espn.com/golf/player/_/id/4349547/kevin-yu" xr:uid="{5F9C0FE6-B9E3-A548-A99D-776C19B5583E}"/>
    <hyperlink ref="F86" r:id="rId76" display="https://www.espn.com/golf/player/_/id/1030/jhonattan-vegas" xr:uid="{4C948A51-0D2F-554A-A98A-1992B4CB6923}"/>
    <hyperlink ref="F87" r:id="rId77" display="https://www.espn.com/golf/player/_/id/11378/robert-macintyre" xr:uid="{6418B3C3-03FF-D142-B3F1-F5EDCCC162AE}"/>
    <hyperlink ref="F88" r:id="rId78" display="https://www.espn.com/golf/player/_/id/5214992/hiroshi-tai" xr:uid="{2E716CD8-0F51-E14F-B50B-744816178203}"/>
    <hyperlink ref="F89" r:id="rId79" display="https://www.espn.com/golf/player/_/id/329/jose-maria-olazabal" xr:uid="{BA07FD12-44EB-3E4B-B765-76A4054B5204}"/>
    <hyperlink ref="F90" r:id="rId80" display="https://www.espn.com/golf/player/_/id/9243/christiaan-bezuidenhout" xr:uid="{23E4244D-1139-5147-BBED-F71540FF7C58}"/>
    <hyperlink ref="F91" r:id="rId81" display="https://www.espn.com/golf/player/_/id/4425906/cameron-young" xr:uid="{DDDAFA46-D1BF-0F46-B2BE-F2B0FCD0F608}"/>
    <hyperlink ref="F92" r:id="rId82" display="https://www.espn.com/golf/player/_/id/3980/patton-kizzire" xr:uid="{58C3A1B8-1BDD-EA40-9E65-08B6051AD64B}"/>
    <hyperlink ref="F93" r:id="rId83" display="https://www.espn.com/golf/player/_/id/676/lucas-glover" xr:uid="{DC3356D8-31A5-4B43-9327-FF24E24B9F9C}"/>
    <hyperlink ref="F94" r:id="rId84" display="https://www.espn.com/golf/player/_/id/9658/taylor-pendrith" xr:uid="{431775CA-F354-E646-8D8A-B04EC39E6498}"/>
    <hyperlink ref="F95" r:id="rId85" display="https://www.espn.com/golf/player/_/id/9877/will-zalatoris" xr:uid="{5AFD2F6E-A609-FA41-9D6B-73F537CB0F0D}"/>
    <hyperlink ref="F96" r:id="rId86" display="https://www.espn.com/golf/player/_/id/4837/thomas-detry" xr:uid="{024E5C31-AD50-8E42-AE0A-BF2B5D1D19D2}"/>
    <hyperlink ref="F97" r:id="rId87" display="https://www.espn.com/golf/player/_/id/10559/evan-beck" xr:uid="{FF6CF69F-4446-764D-8BD9-985AE12C54EF}"/>
    <hyperlink ref="F98" r:id="rId88" display="https://www.espn.com/golf/player/_/id/10863/cam-davis" xr:uid="{3C93D598-FA16-EE4C-9C79-09A0ABB4E4BA}"/>
    <hyperlink ref="F99" r:id="rId89" display="https://www.espn.com/golf/player/_/id/10596/matthieu-pavon" xr:uid="{686544A8-3FD6-364F-B3AD-E0C53D07D620}"/>
    <hyperlink ref="F100" r:id="rId90" display="https://www.espn.com/golf/player/_/id/5550/laurie-canter" xr:uid="{454998BD-44D5-AF49-8EB4-845A54D6D4B4}"/>
    <hyperlink ref="F101" r:id="rId91" display="https://www.espn.com/golf/player/_/id/5152205/jose-luis-ballester" xr:uid="{C155032D-04F9-F84D-AB18-64D213063281}"/>
    <hyperlink ref="F102" r:id="rId92" display="https://www.espn.com/golf/player/_/id/9240/thriston-lawrence" xr:uid="{7E249C53-CB08-8E43-994C-F24870B91975}"/>
    <hyperlink ref="F103" r:id="rId93" display="https://www.espn.com/golf/player/_/id/5276688/noah-kent" xr:uid="{7BA145AB-6F03-6D41-87D1-9CA63088FF1C}"/>
    <hyperlink ref="F104" r:id="rId94" display="https://www.espn.com/golf/player/_/id/65/angel-cabrera" xr:uid="{3F05AA28-B37C-A84C-8717-924D41707CDC}"/>
    <hyperlink ref="F105" r:id="rId95" display="https://www.espn.com/golf/player/_/id/4832046/nick-dunlap" xr:uid="{824D59EC-B067-6740-843D-41FDC492C1D6}"/>
  </hyperlinks>
  <pageMargins left="0.7" right="0.7" top="0.75" bottom="0.75" header="0.3" footer="0.3"/>
  <drawing r:id="rId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5D5E-AC6A-E541-B54C-658D5EB48D00}">
  <dimension ref="A1:AL98"/>
  <sheetViews>
    <sheetView zoomScale="150" zoomScaleNormal="150" workbookViewId="0">
      <selection activeCell="AL5" sqref="AL5"/>
    </sheetView>
  </sheetViews>
  <sheetFormatPr baseColWidth="10" defaultColWidth="8.83203125" defaultRowHeight="15" x14ac:dyDescent="0.2"/>
  <cols>
    <col min="2" max="2" width="45.5" customWidth="1"/>
    <col min="3" max="3" width="19" bestFit="1" customWidth="1"/>
    <col min="4" max="4" width="7.33203125" bestFit="1" customWidth="1"/>
    <col min="5" max="7" width="18.5" bestFit="1" customWidth="1"/>
    <col min="8" max="8" width="19.1640625" bestFit="1" customWidth="1"/>
    <col min="9" max="9" width="20.1640625" bestFit="1" customWidth="1"/>
    <col min="10" max="10" width="17.6640625" bestFit="1" customWidth="1"/>
    <col min="11" max="12" width="18.6640625" bestFit="1" customWidth="1"/>
    <col min="32" max="32" width="5.6640625" customWidth="1"/>
  </cols>
  <sheetData>
    <row r="1" spans="1:38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AB1" t="s">
        <v>261</v>
      </c>
      <c r="AC1" t="s">
        <v>262</v>
      </c>
    </row>
    <row r="2" spans="1:38" ht="16" x14ac:dyDescent="0.2">
      <c r="A2" s="3">
        <v>1</v>
      </c>
      <c r="B2" s="4" t="s">
        <v>104</v>
      </c>
      <c r="C2" s="4" t="s">
        <v>79</v>
      </c>
      <c r="D2" s="4" t="s">
        <v>105</v>
      </c>
      <c r="E2" s="4" t="s">
        <v>15</v>
      </c>
      <c r="F2" s="4" t="s">
        <v>20</v>
      </c>
      <c r="G2" s="4" t="s">
        <v>58</v>
      </c>
      <c r="H2" s="4" t="s">
        <v>44</v>
      </c>
      <c r="I2" s="4" t="s">
        <v>30</v>
      </c>
      <c r="J2" s="4" t="s">
        <v>30</v>
      </c>
      <c r="K2" s="4" t="s">
        <v>74</v>
      </c>
      <c r="L2" s="4" t="s">
        <v>24</v>
      </c>
      <c r="N2" s="36">
        <f t="shared" ref="N2:U2" si="0">+VLOOKUP(E2,$AG$3:$AI$98,3,FALSE)</f>
        <v>4.227827794656451E-2</v>
      </c>
      <c r="O2" s="36">
        <f t="shared" si="0"/>
        <v>2.3184862099728924E-2</v>
      </c>
      <c r="P2" s="36">
        <f t="shared" si="0"/>
        <v>1.9964742363655461E-2</v>
      </c>
      <c r="Q2" s="36">
        <f t="shared" si="0"/>
        <v>1.9964742363655461E-2</v>
      </c>
      <c r="R2" s="36">
        <f t="shared" si="0"/>
        <v>8.8732188282913162E-3</v>
      </c>
      <c r="S2" s="36">
        <f t="shared" si="0"/>
        <v>8.8732188282913162E-3</v>
      </c>
      <c r="T2" s="36">
        <f t="shared" si="0"/>
        <v>2.1139138973282255E-2</v>
      </c>
      <c r="U2" s="36">
        <f t="shared" si="0"/>
        <v>4.2031036555064127E-3</v>
      </c>
      <c r="V2" s="36"/>
      <c r="W2" s="39" cm="1">
        <f t="array" ref="W2">+SUM((N2:U2)^2)</f>
        <v>3.7441697936248467E-3</v>
      </c>
      <c r="Y2" s="37">
        <f>8-COUNTIF(N2:U2,"=0")</f>
        <v>8</v>
      </c>
      <c r="AA2" cm="1">
        <f t="array" ref="AA2">SUM(--(COUNTIFS(E2:L2, E2:L2) &gt; 1))</f>
        <v>2</v>
      </c>
      <c r="AB2">
        <v>1</v>
      </c>
      <c r="AC2">
        <v>0</v>
      </c>
      <c r="AF2" t="s">
        <v>236</v>
      </c>
      <c r="AG2" t="s">
        <v>237</v>
      </c>
      <c r="AH2" t="s">
        <v>259</v>
      </c>
      <c r="AI2" t="s">
        <v>260</v>
      </c>
    </row>
    <row r="3" spans="1:38" ht="16" x14ac:dyDescent="0.2">
      <c r="A3" s="5">
        <v>2</v>
      </c>
      <c r="B3" s="6" t="s">
        <v>106</v>
      </c>
      <c r="C3" s="6" t="s">
        <v>95</v>
      </c>
      <c r="D3" s="6" t="s">
        <v>96</v>
      </c>
      <c r="E3" s="6" t="s">
        <v>27</v>
      </c>
      <c r="F3" s="6" t="s">
        <v>27</v>
      </c>
      <c r="G3" s="6" t="s">
        <v>20</v>
      </c>
      <c r="H3" s="6" t="s">
        <v>20</v>
      </c>
      <c r="I3" s="6" t="s">
        <v>22</v>
      </c>
      <c r="J3" s="6" t="s">
        <v>22</v>
      </c>
      <c r="K3" s="6" t="s">
        <v>24</v>
      </c>
      <c r="L3" s="6" t="s">
        <v>170</v>
      </c>
      <c r="N3" s="36">
        <f t="shared" ref="N3:N40" si="1">+VLOOKUP(E3,$AG$3:$AI$98,3,FALSE)</f>
        <v>3.7827932899557715E-2</v>
      </c>
      <c r="O3" s="36">
        <f t="shared" ref="O3:O40" si="2">+VLOOKUP(F3,$AG$3:$AI$98,3,FALSE)</f>
        <v>3.7827932899557715E-2</v>
      </c>
      <c r="P3" s="36">
        <f t="shared" ref="P3:P40" si="3">+VLOOKUP(G3,$AG$3:$AI$98,3,FALSE)</f>
        <v>2.3184862099728924E-2</v>
      </c>
      <c r="Q3" s="36">
        <f t="shared" ref="Q3:Q40" si="4">+VLOOKUP(H3,$AG$3:$AI$98,3,FALSE)</f>
        <v>2.3184862099728924E-2</v>
      </c>
      <c r="R3" s="36">
        <f t="shared" ref="R3:R40" si="5">+VLOOKUP(I3,$AG$3:$AI$98,3,FALSE)</f>
        <v>9.4569832248894287E-3</v>
      </c>
      <c r="S3" s="36">
        <f t="shared" ref="S3:S40" si="6">+VLOOKUP(J3,$AG$3:$AI$98,3,FALSE)</f>
        <v>9.4569832248894287E-3</v>
      </c>
      <c r="T3" s="36">
        <f t="shared" ref="T3:T40" si="7">+VLOOKUP(K3,$AG$3:$AI$98,3,FALSE)</f>
        <v>4.2031036555064127E-3</v>
      </c>
      <c r="U3" s="36">
        <f t="shared" ref="U3:U40" si="8">+VLOOKUP(L3,$AG$3:$AI$98,3,FALSE)</f>
        <v>4.7598061264344151E-3</v>
      </c>
      <c r="V3" s="36"/>
      <c r="W3" s="39" cm="1">
        <f t="array" ref="W3">+SUM((N3:U3)^2)</f>
        <v>4.1561715742056294E-3</v>
      </c>
      <c r="Y3" s="37">
        <f t="shared" ref="Y3:Y40" si="9">8-COUNTIF(N3:U3,"=0")</f>
        <v>8</v>
      </c>
      <c r="AA3" cm="1">
        <f t="array" ref="AA3">SUM(--(COUNTIFS(E3:L3, E3:L3) &gt; 1))</f>
        <v>6</v>
      </c>
      <c r="AB3">
        <v>3</v>
      </c>
      <c r="AC3">
        <v>0</v>
      </c>
      <c r="AF3">
        <v>1</v>
      </c>
      <c r="AG3" t="s">
        <v>192</v>
      </c>
      <c r="AH3">
        <v>450</v>
      </c>
      <c r="AI3">
        <v>0.13067831365301757</v>
      </c>
      <c r="AL3">
        <v>17.899999999999999</v>
      </c>
    </row>
    <row r="4" spans="1:38" ht="16" x14ac:dyDescent="0.2">
      <c r="A4" s="3">
        <v>3</v>
      </c>
      <c r="B4" s="4" t="s">
        <v>109</v>
      </c>
      <c r="C4" s="4" t="s">
        <v>107</v>
      </c>
      <c r="D4" s="4" t="s">
        <v>108</v>
      </c>
      <c r="E4" s="4" t="s">
        <v>34</v>
      </c>
      <c r="F4" s="4" t="s">
        <v>37</v>
      </c>
      <c r="G4" s="4" t="s">
        <v>37</v>
      </c>
      <c r="H4" s="4" t="s">
        <v>20</v>
      </c>
      <c r="I4" s="4" t="s">
        <v>165</v>
      </c>
      <c r="J4" s="4" t="s">
        <v>21</v>
      </c>
      <c r="K4" s="4" t="s">
        <v>64</v>
      </c>
      <c r="L4" s="4" t="s">
        <v>174</v>
      </c>
      <c r="N4" s="36">
        <f t="shared" si="1"/>
        <v>4.227827794656451E-2</v>
      </c>
      <c r="O4" s="36">
        <f t="shared" si="2"/>
        <v>2.4783818106606782E-2</v>
      </c>
      <c r="P4" s="36">
        <f t="shared" si="3"/>
        <v>2.4783818106606782E-2</v>
      </c>
      <c r="Q4" s="36">
        <f t="shared" si="4"/>
        <v>2.3184862099728924E-2</v>
      </c>
      <c r="R4" s="36">
        <f t="shared" si="5"/>
        <v>1.2834477233778511E-2</v>
      </c>
      <c r="S4" s="36">
        <f t="shared" si="6"/>
        <v>1.2834477233778511E-2</v>
      </c>
      <c r="T4" s="36">
        <f t="shared" si="7"/>
        <v>5.9399233478644349E-3</v>
      </c>
      <c r="U4" s="36">
        <f t="shared" si="8"/>
        <v>3.2521752266588084E-3</v>
      </c>
      <c r="V4" s="36"/>
      <c r="W4" s="39">
        <f t="shared" ref="W4:W40" si="10">+STDEV(N4:U4)</f>
        <v>1.2650961454051538E-2</v>
      </c>
      <c r="Y4" s="37">
        <f t="shared" si="9"/>
        <v>8</v>
      </c>
      <c r="AA4" cm="1">
        <f t="array" ref="AA4">SUM(--(COUNTIFS(E4:L4, E4:L4) &gt; 1))</f>
        <v>2</v>
      </c>
      <c r="AB4">
        <v>1</v>
      </c>
      <c r="AC4">
        <v>0</v>
      </c>
      <c r="AF4">
        <v>2</v>
      </c>
      <c r="AG4" t="s">
        <v>43</v>
      </c>
      <c r="AH4">
        <v>650</v>
      </c>
      <c r="AI4">
        <v>9.5830763345546216E-2</v>
      </c>
      <c r="AL4">
        <v>1267.5</v>
      </c>
    </row>
    <row r="5" spans="1:38" ht="16" x14ac:dyDescent="0.2">
      <c r="A5" s="5">
        <v>4</v>
      </c>
      <c r="B5" s="6" t="s">
        <v>110</v>
      </c>
      <c r="C5" s="6" t="s">
        <v>77</v>
      </c>
      <c r="D5" s="6" t="s">
        <v>78</v>
      </c>
      <c r="E5" s="6" t="s">
        <v>15</v>
      </c>
      <c r="F5" s="6" t="s">
        <v>33</v>
      </c>
      <c r="G5" s="6" t="s">
        <v>37</v>
      </c>
      <c r="H5" s="6" t="s">
        <v>41</v>
      </c>
      <c r="I5" s="6" t="s">
        <v>42</v>
      </c>
      <c r="J5" s="6" t="s">
        <v>42</v>
      </c>
      <c r="K5" s="6" t="s">
        <v>38</v>
      </c>
      <c r="L5" s="6" t="s">
        <v>171</v>
      </c>
      <c r="N5" s="36">
        <f t="shared" si="1"/>
        <v>4.227827794656451E-2</v>
      </c>
      <c r="O5" s="36">
        <f t="shared" si="2"/>
        <v>3.1249161960504201E-2</v>
      </c>
      <c r="P5" s="36">
        <f t="shared" si="3"/>
        <v>2.4783818106606782E-2</v>
      </c>
      <c r="Q5" s="36">
        <f t="shared" si="4"/>
        <v>1.4092759315521503E-2</v>
      </c>
      <c r="R5" s="36">
        <f t="shared" si="5"/>
        <v>1.0889859471084798E-2</v>
      </c>
      <c r="S5" s="36">
        <f t="shared" si="6"/>
        <v>1.0889859471084798E-2</v>
      </c>
      <c r="T5" s="36">
        <f t="shared" si="7"/>
        <v>1.0889859471084798E-2</v>
      </c>
      <c r="U5" s="36">
        <f t="shared" si="8"/>
        <v>4.2031036555064127E-3</v>
      </c>
      <c r="V5" s="36"/>
      <c r="W5" s="39">
        <f t="shared" si="10"/>
        <v>1.2899601266111728E-2</v>
      </c>
      <c r="Y5" s="37">
        <f t="shared" si="9"/>
        <v>8</v>
      </c>
      <c r="AA5" cm="1">
        <f t="array" ref="AA5">SUM(--(COUNTIFS(E5:L5, E5:L5) &gt; 1))</f>
        <v>2</v>
      </c>
      <c r="AB5">
        <v>1</v>
      </c>
      <c r="AC5">
        <v>0</v>
      </c>
      <c r="AF5">
        <v>3</v>
      </c>
      <c r="AG5" t="s">
        <v>69</v>
      </c>
      <c r="AH5">
        <v>1400</v>
      </c>
      <c r="AI5">
        <v>4.7915381672773108E-2</v>
      </c>
      <c r="AL5">
        <f>+AL4/AL3</f>
        <v>70.810055865921797</v>
      </c>
    </row>
    <row r="6" spans="1:38" ht="16" x14ac:dyDescent="0.2">
      <c r="A6" s="3">
        <v>5</v>
      </c>
      <c r="B6" s="4" t="s">
        <v>146</v>
      </c>
      <c r="C6" s="4" t="s">
        <v>59</v>
      </c>
      <c r="D6" s="4" t="s">
        <v>60</v>
      </c>
      <c r="E6" s="4" t="s">
        <v>33</v>
      </c>
      <c r="F6" s="4" t="s">
        <v>33</v>
      </c>
      <c r="G6" s="4" t="s">
        <v>54</v>
      </c>
      <c r="H6" s="4" t="s">
        <v>41</v>
      </c>
      <c r="I6" s="4" t="s">
        <v>41</v>
      </c>
      <c r="J6" s="4" t="s">
        <v>165</v>
      </c>
      <c r="K6" s="4" t="s">
        <v>75</v>
      </c>
      <c r="L6" s="4" t="s">
        <v>21</v>
      </c>
      <c r="N6" s="36">
        <f t="shared" si="1"/>
        <v>3.1249161960504201E-2</v>
      </c>
      <c r="O6" s="36">
        <f t="shared" si="2"/>
        <v>3.1249161960504201E-2</v>
      </c>
      <c r="P6" s="36">
        <f t="shared" si="3"/>
        <v>1.9964742363655461E-2</v>
      </c>
      <c r="Q6" s="36">
        <f t="shared" si="4"/>
        <v>1.4092759315521503E-2</v>
      </c>
      <c r="R6" s="36">
        <f t="shared" si="5"/>
        <v>1.4092759315521503E-2</v>
      </c>
      <c r="S6" s="36">
        <f t="shared" si="6"/>
        <v>1.2834477233778511E-2</v>
      </c>
      <c r="T6" s="36">
        <f t="shared" si="7"/>
        <v>1.2834477233778511E-2</v>
      </c>
      <c r="U6" s="36">
        <f t="shared" si="8"/>
        <v>1.2834477233778511E-2</v>
      </c>
      <c r="V6" s="36"/>
      <c r="W6" s="39">
        <f t="shared" si="10"/>
        <v>8.125830281463511E-3</v>
      </c>
      <c r="Y6" s="37">
        <f t="shared" si="9"/>
        <v>8</v>
      </c>
      <c r="AA6" cm="1">
        <f t="array" ref="AA6">SUM(--(COUNTIFS(E6:L6, E6:L6) &gt; 1))</f>
        <v>4</v>
      </c>
      <c r="AB6">
        <v>2</v>
      </c>
      <c r="AC6">
        <v>0</v>
      </c>
      <c r="AF6">
        <v>4</v>
      </c>
      <c r="AG6" t="s">
        <v>15</v>
      </c>
      <c r="AH6">
        <v>1600</v>
      </c>
      <c r="AI6">
        <v>4.227827794656451E-2</v>
      </c>
    </row>
    <row r="7" spans="1:38" ht="16" x14ac:dyDescent="0.2">
      <c r="A7" s="5">
        <v>6</v>
      </c>
      <c r="B7" s="6" t="s">
        <v>111</v>
      </c>
      <c r="C7" s="6" t="s">
        <v>84</v>
      </c>
      <c r="D7" s="6" t="s">
        <v>85</v>
      </c>
      <c r="E7" s="6" t="s">
        <v>32</v>
      </c>
      <c r="F7" s="6" t="s">
        <v>32</v>
      </c>
      <c r="G7" s="6" t="s">
        <v>74</v>
      </c>
      <c r="H7" s="6" t="s">
        <v>74</v>
      </c>
      <c r="I7" s="6" t="s">
        <v>37</v>
      </c>
      <c r="J7" s="6" t="s">
        <v>37</v>
      </c>
      <c r="K7" s="6" t="s">
        <v>50</v>
      </c>
      <c r="L7" s="6" t="s">
        <v>50</v>
      </c>
      <c r="N7" s="36">
        <f t="shared" si="1"/>
        <v>1.9964742363655461E-2</v>
      </c>
      <c r="O7" s="36">
        <f t="shared" si="2"/>
        <v>1.9964742363655461E-2</v>
      </c>
      <c r="P7" s="36">
        <f t="shared" si="3"/>
        <v>2.1139138973282255E-2</v>
      </c>
      <c r="Q7" s="36">
        <f t="shared" si="4"/>
        <v>2.1139138973282255E-2</v>
      </c>
      <c r="R7" s="36">
        <f t="shared" si="5"/>
        <v>2.4783818106606782E-2</v>
      </c>
      <c r="S7" s="36">
        <f t="shared" si="6"/>
        <v>2.4783818106606782E-2</v>
      </c>
      <c r="T7" s="36">
        <f t="shared" si="7"/>
        <v>8.8732188282913162E-3</v>
      </c>
      <c r="U7" s="36">
        <f t="shared" si="8"/>
        <v>8.8732188282913162E-3</v>
      </c>
      <c r="V7" s="36"/>
      <c r="W7" s="39">
        <f t="shared" si="10"/>
        <v>6.3499620085019914E-3</v>
      </c>
      <c r="Y7" s="37">
        <f t="shared" si="9"/>
        <v>8</v>
      </c>
      <c r="AA7" cm="1">
        <f t="array" ref="AA7">SUM(--(COUNTIFS(E7:L7, E7:L7) &gt; 1))</f>
        <v>8</v>
      </c>
      <c r="AB7">
        <v>4</v>
      </c>
      <c r="AC7">
        <v>0</v>
      </c>
      <c r="AF7">
        <v>5</v>
      </c>
      <c r="AG7" t="s">
        <v>34</v>
      </c>
      <c r="AH7">
        <v>1600</v>
      </c>
      <c r="AI7">
        <v>4.227827794656451E-2</v>
      </c>
    </row>
    <row r="8" spans="1:38" ht="16" x14ac:dyDescent="0.2">
      <c r="A8" s="3">
        <v>7</v>
      </c>
      <c r="B8" s="4" t="s">
        <v>112</v>
      </c>
      <c r="C8" s="4" t="s">
        <v>56</v>
      </c>
      <c r="D8" s="4" t="s">
        <v>57</v>
      </c>
      <c r="E8" s="4" t="s">
        <v>34</v>
      </c>
      <c r="F8" s="4" t="s">
        <v>34</v>
      </c>
      <c r="G8" s="4" t="s">
        <v>34</v>
      </c>
      <c r="H8" s="4" t="s">
        <v>29</v>
      </c>
      <c r="I8" s="4" t="s">
        <v>170</v>
      </c>
      <c r="J8" s="4" t="s">
        <v>24</v>
      </c>
      <c r="K8" s="4" t="s">
        <v>97</v>
      </c>
      <c r="L8" s="4" t="s">
        <v>175</v>
      </c>
      <c r="N8" s="36">
        <f t="shared" si="1"/>
        <v>4.227827794656451E-2</v>
      </c>
      <c r="O8" s="36">
        <f t="shared" si="2"/>
        <v>4.227827794656451E-2</v>
      </c>
      <c r="P8" s="36">
        <f t="shared" si="3"/>
        <v>4.227827794656451E-2</v>
      </c>
      <c r="Q8" s="36">
        <f t="shared" si="4"/>
        <v>8.8732188282913162E-3</v>
      </c>
      <c r="R8" s="36">
        <f t="shared" si="5"/>
        <v>4.7598061264344151E-3</v>
      </c>
      <c r="S8" s="36">
        <f t="shared" si="6"/>
        <v>4.2031036555064127E-3</v>
      </c>
      <c r="T8" s="36">
        <f t="shared" si="7"/>
        <v>2.6521428970169617E-3</v>
      </c>
      <c r="U8" s="36">
        <f t="shared" si="8"/>
        <v>2.3878097179122811E-3</v>
      </c>
      <c r="V8" s="36"/>
      <c r="W8" s="39">
        <f t="shared" si="10"/>
        <v>1.9612240862191998E-2</v>
      </c>
      <c r="Y8" s="37">
        <f t="shared" si="9"/>
        <v>8</v>
      </c>
      <c r="AA8" cm="1">
        <f t="array" ref="AA8">SUM(--(COUNTIFS(E8:L8, E8:L8) &gt; 1))</f>
        <v>3</v>
      </c>
      <c r="AB8">
        <v>0</v>
      </c>
      <c r="AC8">
        <v>1</v>
      </c>
      <c r="AF8">
        <v>6</v>
      </c>
      <c r="AG8" t="s">
        <v>27</v>
      </c>
      <c r="AH8">
        <v>1800</v>
      </c>
      <c r="AI8">
        <v>3.7827932899557715E-2</v>
      </c>
    </row>
    <row r="9" spans="1:38" ht="16" x14ac:dyDescent="0.2">
      <c r="A9" s="5">
        <v>8</v>
      </c>
      <c r="B9" s="6" t="s">
        <v>113</v>
      </c>
      <c r="C9" s="6" t="s">
        <v>65</v>
      </c>
      <c r="D9" s="6" t="s">
        <v>66</v>
      </c>
      <c r="E9" s="6" t="s">
        <v>27</v>
      </c>
      <c r="F9" s="6" t="s">
        <v>27</v>
      </c>
      <c r="G9" s="6" t="s">
        <v>47</v>
      </c>
      <c r="H9" s="6" t="s">
        <v>54</v>
      </c>
      <c r="I9" s="6" t="s">
        <v>38</v>
      </c>
      <c r="J9" s="6" t="s">
        <v>94</v>
      </c>
      <c r="K9" s="6" t="s">
        <v>26</v>
      </c>
      <c r="L9" s="6" t="s">
        <v>26</v>
      </c>
      <c r="N9" s="36">
        <f t="shared" si="1"/>
        <v>3.7827932899557715E-2</v>
      </c>
      <c r="O9" s="36">
        <f t="shared" si="2"/>
        <v>3.7827932899557715E-2</v>
      </c>
      <c r="P9" s="36">
        <f t="shared" si="3"/>
        <v>3.422527262340936E-2</v>
      </c>
      <c r="Q9" s="36">
        <f t="shared" si="4"/>
        <v>1.9964742363655461E-2</v>
      </c>
      <c r="R9" s="36">
        <f t="shared" si="5"/>
        <v>1.0889859471084798E-2</v>
      </c>
      <c r="S9" s="36">
        <f t="shared" si="6"/>
        <v>8.8732188282913162E-3</v>
      </c>
      <c r="T9" s="36">
        <f t="shared" si="7"/>
        <v>0</v>
      </c>
      <c r="U9" s="36">
        <f t="shared" si="8"/>
        <v>0</v>
      </c>
      <c r="V9" s="36"/>
      <c r="W9" s="39">
        <f t="shared" si="10"/>
        <v>1.6174641574931304E-2</v>
      </c>
      <c r="Y9" s="37">
        <f t="shared" si="9"/>
        <v>6</v>
      </c>
      <c r="AA9" cm="1">
        <f t="array" ref="AA9">SUM(--(COUNTIFS(E9:L9, E9:L9) &gt; 1))</f>
        <v>4</v>
      </c>
      <c r="AB9">
        <v>1</v>
      </c>
      <c r="AC9">
        <v>0</v>
      </c>
      <c r="AF9">
        <v>7</v>
      </c>
      <c r="AG9" t="s">
        <v>47</v>
      </c>
      <c r="AH9">
        <v>2000</v>
      </c>
      <c r="AI9">
        <v>3.422527262340936E-2</v>
      </c>
    </row>
    <row r="10" spans="1:38" ht="16" x14ac:dyDescent="0.2">
      <c r="A10" s="3">
        <v>9</v>
      </c>
      <c r="B10" s="4" t="s">
        <v>114</v>
      </c>
      <c r="C10" s="4" t="s">
        <v>115</v>
      </c>
      <c r="D10" s="4" t="s">
        <v>116</v>
      </c>
      <c r="E10" s="4" t="s">
        <v>34</v>
      </c>
      <c r="F10" s="4" t="s">
        <v>34</v>
      </c>
      <c r="G10" s="4" t="s">
        <v>41</v>
      </c>
      <c r="H10" s="4" t="s">
        <v>165</v>
      </c>
      <c r="I10" s="4" t="s">
        <v>165</v>
      </c>
      <c r="J10" s="4" t="s">
        <v>21</v>
      </c>
      <c r="K10" s="4" t="s">
        <v>21</v>
      </c>
      <c r="L10" s="4" t="s">
        <v>26</v>
      </c>
      <c r="N10" s="36">
        <f t="shared" si="1"/>
        <v>4.227827794656451E-2</v>
      </c>
      <c r="O10" s="36">
        <f t="shared" si="2"/>
        <v>4.227827794656451E-2</v>
      </c>
      <c r="P10" s="36">
        <f t="shared" si="3"/>
        <v>1.4092759315521503E-2</v>
      </c>
      <c r="Q10" s="36">
        <f t="shared" si="4"/>
        <v>1.2834477233778511E-2</v>
      </c>
      <c r="R10" s="36">
        <f t="shared" si="5"/>
        <v>1.2834477233778511E-2</v>
      </c>
      <c r="S10" s="36">
        <f t="shared" si="6"/>
        <v>1.2834477233778511E-2</v>
      </c>
      <c r="T10" s="36">
        <f t="shared" si="7"/>
        <v>1.2834477233778511E-2</v>
      </c>
      <c r="U10" s="36">
        <f t="shared" si="8"/>
        <v>0</v>
      </c>
      <c r="V10" s="36"/>
      <c r="W10" s="39">
        <f t="shared" si="10"/>
        <v>1.5214587619605993E-2</v>
      </c>
      <c r="Y10" s="37">
        <f t="shared" si="9"/>
        <v>7</v>
      </c>
      <c r="AA10" cm="1">
        <f t="array" ref="AA10">SUM(--(COUNTIFS(E10:L10, E10:L10) &gt; 1))</f>
        <v>6</v>
      </c>
      <c r="AB10">
        <v>3</v>
      </c>
      <c r="AC10">
        <v>0</v>
      </c>
      <c r="AF10">
        <v>8</v>
      </c>
      <c r="AG10" t="s">
        <v>33</v>
      </c>
      <c r="AH10">
        <v>2200</v>
      </c>
      <c r="AI10">
        <v>3.1249161960504201E-2</v>
      </c>
    </row>
    <row r="11" spans="1:38" ht="16" x14ac:dyDescent="0.2">
      <c r="A11" s="5">
        <v>10</v>
      </c>
      <c r="B11" s="6" t="s">
        <v>119</v>
      </c>
      <c r="C11" s="6" t="s">
        <v>117</v>
      </c>
      <c r="D11" s="6" t="s">
        <v>118</v>
      </c>
      <c r="E11" s="6" t="s">
        <v>43</v>
      </c>
      <c r="F11" s="6" t="s">
        <v>58</v>
      </c>
      <c r="G11" s="6" t="s">
        <v>32</v>
      </c>
      <c r="H11" s="6" t="s">
        <v>75</v>
      </c>
      <c r="I11" s="6" t="s">
        <v>178</v>
      </c>
      <c r="J11" s="6" t="s">
        <v>26</v>
      </c>
      <c r="K11" s="6" t="s">
        <v>26</v>
      </c>
      <c r="L11" s="6" t="s">
        <v>26</v>
      </c>
      <c r="N11" s="36">
        <f t="shared" si="1"/>
        <v>9.5830763345546216E-2</v>
      </c>
      <c r="O11" s="36">
        <f t="shared" si="2"/>
        <v>1.9964742363655461E-2</v>
      </c>
      <c r="P11" s="36">
        <f t="shared" si="3"/>
        <v>1.9964742363655461E-2</v>
      </c>
      <c r="Q11" s="36">
        <f t="shared" si="4"/>
        <v>1.2834477233778511E-2</v>
      </c>
      <c r="R11" s="36">
        <f t="shared" si="5"/>
        <v>1.4345922656518893E-3</v>
      </c>
      <c r="S11" s="36">
        <f t="shared" si="6"/>
        <v>0</v>
      </c>
      <c r="T11" s="36">
        <f t="shared" si="7"/>
        <v>0</v>
      </c>
      <c r="U11" s="36">
        <f t="shared" si="8"/>
        <v>0</v>
      </c>
      <c r="V11" s="36"/>
      <c r="W11" s="39">
        <f t="shared" si="10"/>
        <v>3.236819299232023E-2</v>
      </c>
      <c r="Y11" s="37">
        <f t="shared" si="9"/>
        <v>5</v>
      </c>
      <c r="AA11" cm="1">
        <f t="array" ref="AA11">SUM(--(COUNTIFS(E11:L11, E11:L11) &gt; 1))</f>
        <v>3</v>
      </c>
      <c r="AB11">
        <v>0</v>
      </c>
      <c r="AC11">
        <v>0</v>
      </c>
      <c r="AF11">
        <v>9</v>
      </c>
      <c r="AG11" t="s">
        <v>14</v>
      </c>
      <c r="AH11">
        <v>2800</v>
      </c>
      <c r="AI11">
        <v>2.4783818106606782E-2</v>
      </c>
    </row>
    <row r="12" spans="1:38" ht="16" x14ac:dyDescent="0.2">
      <c r="A12" s="3">
        <v>11</v>
      </c>
      <c r="B12" s="4" t="s">
        <v>120</v>
      </c>
      <c r="C12" s="7" t="s">
        <v>121</v>
      </c>
      <c r="D12" s="4" t="s">
        <v>100</v>
      </c>
      <c r="E12" s="4" t="s">
        <v>69</v>
      </c>
      <c r="F12" s="4" t="s">
        <v>47</v>
      </c>
      <c r="G12" s="4" t="s">
        <v>20</v>
      </c>
      <c r="H12" s="4" t="s">
        <v>74</v>
      </c>
      <c r="I12" s="4" t="s">
        <v>29</v>
      </c>
      <c r="J12" s="4" t="s">
        <v>51</v>
      </c>
      <c r="K12" s="4" t="s">
        <v>172</v>
      </c>
      <c r="L12" s="4" t="s">
        <v>173</v>
      </c>
      <c r="N12" s="36">
        <f t="shared" si="1"/>
        <v>4.7915381672773108E-2</v>
      </c>
      <c r="O12" s="36">
        <f t="shared" si="2"/>
        <v>3.422527262340936E-2</v>
      </c>
      <c r="P12" s="36">
        <f t="shared" si="3"/>
        <v>2.3184862099728924E-2</v>
      </c>
      <c r="Q12" s="36">
        <f t="shared" si="4"/>
        <v>2.1139138973282255E-2</v>
      </c>
      <c r="R12" s="36">
        <f t="shared" si="5"/>
        <v>8.8732188282913162E-3</v>
      </c>
      <c r="S12" s="36">
        <f t="shared" si="6"/>
        <v>6.4750515774017713E-3</v>
      </c>
      <c r="T12" s="36">
        <f t="shared" si="7"/>
        <v>3.5757747516994855E-3</v>
      </c>
      <c r="U12" s="36">
        <f t="shared" si="8"/>
        <v>3.2521752266588084E-3</v>
      </c>
      <c r="V12" s="36"/>
      <c r="W12" s="39">
        <f t="shared" si="10"/>
        <v>1.6186032272599776E-2</v>
      </c>
      <c r="Y12" s="37">
        <f t="shared" si="9"/>
        <v>8</v>
      </c>
      <c r="AA12" cm="1">
        <f t="array" ref="AA12">SUM(--(COUNTIFS(E12:L12, E12:L12) &gt; 1))</f>
        <v>0</v>
      </c>
      <c r="AB12">
        <v>0</v>
      </c>
      <c r="AC12">
        <v>0</v>
      </c>
      <c r="AF12">
        <v>10</v>
      </c>
      <c r="AG12" t="s">
        <v>37</v>
      </c>
      <c r="AH12">
        <v>2800</v>
      </c>
      <c r="AI12">
        <v>2.4783818106606782E-2</v>
      </c>
    </row>
    <row r="13" spans="1:38" ht="16" x14ac:dyDescent="0.2">
      <c r="A13" s="5">
        <v>12</v>
      </c>
      <c r="B13" s="6" t="s">
        <v>122</v>
      </c>
      <c r="C13" s="6" t="s">
        <v>123</v>
      </c>
      <c r="D13" s="6" t="s">
        <v>87</v>
      </c>
      <c r="E13" s="6" t="s">
        <v>15</v>
      </c>
      <c r="F13" s="6" t="s">
        <v>34</v>
      </c>
      <c r="G13" s="6" t="s">
        <v>32</v>
      </c>
      <c r="H13" s="6" t="s">
        <v>47</v>
      </c>
      <c r="I13" s="6" t="s">
        <v>22</v>
      </c>
      <c r="J13" s="6" t="s">
        <v>76</v>
      </c>
      <c r="K13" s="6" t="s">
        <v>26</v>
      </c>
      <c r="L13" s="6" t="s">
        <v>26</v>
      </c>
      <c r="N13" s="36">
        <f t="shared" si="1"/>
        <v>4.227827794656451E-2</v>
      </c>
      <c r="O13" s="36">
        <f t="shared" si="2"/>
        <v>4.227827794656451E-2</v>
      </c>
      <c r="P13" s="36">
        <f t="shared" si="3"/>
        <v>1.9964742363655461E-2</v>
      </c>
      <c r="Q13" s="36">
        <f t="shared" si="4"/>
        <v>3.422527262340936E-2</v>
      </c>
      <c r="R13" s="36">
        <f t="shared" si="5"/>
        <v>9.4569832248894287E-3</v>
      </c>
      <c r="S13" s="36">
        <f t="shared" si="6"/>
        <v>1.7923459478593432E-3</v>
      </c>
      <c r="T13" s="36">
        <f t="shared" si="7"/>
        <v>0</v>
      </c>
      <c r="U13" s="36">
        <f t="shared" si="8"/>
        <v>0</v>
      </c>
      <c r="V13" s="36"/>
      <c r="W13" s="39">
        <f t="shared" si="10"/>
        <v>1.8613230999456359E-2</v>
      </c>
      <c r="Y13" s="37">
        <f t="shared" si="9"/>
        <v>6</v>
      </c>
      <c r="AA13" cm="1">
        <f t="array" ref="AA13">SUM(--(COUNTIFS(E13:L13, E13:L13) &gt; 1))</f>
        <v>2</v>
      </c>
      <c r="AB13">
        <v>0</v>
      </c>
      <c r="AC13">
        <v>0</v>
      </c>
      <c r="AF13">
        <v>11</v>
      </c>
      <c r="AG13" t="s">
        <v>20</v>
      </c>
      <c r="AH13">
        <v>3000</v>
      </c>
      <c r="AI13">
        <v>2.3184862099728924E-2</v>
      </c>
    </row>
    <row r="14" spans="1:38" ht="16" x14ac:dyDescent="0.2">
      <c r="A14" s="3">
        <v>13</v>
      </c>
      <c r="B14" s="4" t="s">
        <v>124</v>
      </c>
      <c r="C14" s="4" t="s">
        <v>12</v>
      </c>
      <c r="D14" s="4" t="s">
        <v>13</v>
      </c>
      <c r="E14" s="4" t="s">
        <v>14</v>
      </c>
      <c r="F14" s="4" t="s">
        <v>14</v>
      </c>
      <c r="G14" s="4" t="s">
        <v>14</v>
      </c>
      <c r="H14" s="4" t="s">
        <v>42</v>
      </c>
      <c r="I14" s="4" t="s">
        <v>42</v>
      </c>
      <c r="J14" s="4" t="s">
        <v>42</v>
      </c>
      <c r="K14" s="4" t="s">
        <v>34</v>
      </c>
      <c r="L14" s="4" t="s">
        <v>26</v>
      </c>
      <c r="N14" s="36">
        <f t="shared" si="1"/>
        <v>2.4783818106606782E-2</v>
      </c>
      <c r="O14" s="36">
        <f t="shared" si="2"/>
        <v>2.4783818106606782E-2</v>
      </c>
      <c r="P14" s="36">
        <f t="shared" si="3"/>
        <v>2.4783818106606782E-2</v>
      </c>
      <c r="Q14" s="36">
        <f t="shared" si="4"/>
        <v>1.0889859471084798E-2</v>
      </c>
      <c r="R14" s="36">
        <f t="shared" si="5"/>
        <v>1.0889859471084798E-2</v>
      </c>
      <c r="S14" s="36">
        <f t="shared" si="6"/>
        <v>1.0889859471084798E-2</v>
      </c>
      <c r="T14" s="36">
        <f t="shared" si="7"/>
        <v>4.227827794656451E-2</v>
      </c>
      <c r="U14" s="36">
        <f t="shared" si="8"/>
        <v>0</v>
      </c>
      <c r="V14" s="36"/>
      <c r="W14" s="39">
        <f t="shared" si="10"/>
        <v>1.3091149151098066E-2</v>
      </c>
      <c r="Y14" s="37">
        <f t="shared" si="9"/>
        <v>7</v>
      </c>
      <c r="AA14" cm="1">
        <f t="array" ref="AA14">SUM(--(COUNTIFS(E14:L14, E14:L14) &gt; 1))</f>
        <v>6</v>
      </c>
      <c r="AB14">
        <v>0</v>
      </c>
      <c r="AC14">
        <v>2</v>
      </c>
      <c r="AF14">
        <v>12</v>
      </c>
      <c r="AG14" t="s">
        <v>74</v>
      </c>
      <c r="AH14">
        <v>3300</v>
      </c>
      <c r="AI14">
        <v>2.1139138973282255E-2</v>
      </c>
    </row>
    <row r="15" spans="1:38" ht="16" x14ac:dyDescent="0.2">
      <c r="A15" s="5">
        <v>14</v>
      </c>
      <c r="B15" s="6" t="s">
        <v>125</v>
      </c>
      <c r="C15" s="6" t="s">
        <v>39</v>
      </c>
      <c r="D15" s="6" t="s">
        <v>40</v>
      </c>
      <c r="E15" s="6" t="s">
        <v>15</v>
      </c>
      <c r="F15" s="6" t="s">
        <v>41</v>
      </c>
      <c r="G15" s="6" t="s">
        <v>41</v>
      </c>
      <c r="H15" s="6" t="s">
        <v>41</v>
      </c>
      <c r="I15" s="6" t="s">
        <v>23</v>
      </c>
      <c r="J15" s="6" t="s">
        <v>23</v>
      </c>
      <c r="K15" s="6" t="s">
        <v>23</v>
      </c>
      <c r="L15" s="6" t="s">
        <v>20</v>
      </c>
      <c r="N15" s="36">
        <f t="shared" si="1"/>
        <v>4.227827794656451E-2</v>
      </c>
      <c r="O15" s="36">
        <f t="shared" si="2"/>
        <v>1.4092759315521503E-2</v>
      </c>
      <c r="P15" s="36">
        <f t="shared" si="3"/>
        <v>1.4092759315521503E-2</v>
      </c>
      <c r="Q15" s="36">
        <f t="shared" si="4"/>
        <v>1.4092759315521503E-2</v>
      </c>
      <c r="R15" s="36">
        <f t="shared" si="5"/>
        <v>1.178247090314093E-2</v>
      </c>
      <c r="S15" s="36">
        <f t="shared" si="6"/>
        <v>1.178247090314093E-2</v>
      </c>
      <c r="T15" s="36">
        <f t="shared" si="7"/>
        <v>1.178247090314093E-2</v>
      </c>
      <c r="U15" s="36">
        <f t="shared" si="8"/>
        <v>2.3184862099728924E-2</v>
      </c>
      <c r="V15" s="36"/>
      <c r="W15" s="39">
        <f t="shared" si="10"/>
        <v>1.0542339059159144E-2</v>
      </c>
      <c r="Y15" s="37">
        <f t="shared" si="9"/>
        <v>8</v>
      </c>
      <c r="AA15" cm="1">
        <f t="array" ref="AA15">SUM(--(COUNTIFS(E15:L15, E15:L15) &gt; 1))</f>
        <v>6</v>
      </c>
      <c r="AB15">
        <v>0</v>
      </c>
      <c r="AC15">
        <v>2</v>
      </c>
      <c r="AF15">
        <v>13</v>
      </c>
      <c r="AG15" t="s">
        <v>58</v>
      </c>
      <c r="AH15">
        <v>3500</v>
      </c>
      <c r="AI15">
        <v>1.9964742363655461E-2</v>
      </c>
    </row>
    <row r="16" spans="1:38" ht="16" x14ac:dyDescent="0.2">
      <c r="A16" s="3">
        <v>15</v>
      </c>
      <c r="B16" s="4" t="s">
        <v>126</v>
      </c>
      <c r="C16" s="4" t="s">
        <v>62</v>
      </c>
      <c r="D16" s="4" t="s">
        <v>63</v>
      </c>
      <c r="E16" s="4" t="s">
        <v>15</v>
      </c>
      <c r="F16" s="4" t="s">
        <v>15</v>
      </c>
      <c r="G16" s="4" t="s">
        <v>41</v>
      </c>
      <c r="H16" s="4" t="s">
        <v>41</v>
      </c>
      <c r="I16" s="4" t="s">
        <v>32</v>
      </c>
      <c r="J16" s="4" t="s">
        <v>29</v>
      </c>
      <c r="K16" s="4" t="s">
        <v>171</v>
      </c>
      <c r="L16" s="4" t="s">
        <v>171</v>
      </c>
      <c r="N16" s="36">
        <f t="shared" si="1"/>
        <v>4.227827794656451E-2</v>
      </c>
      <c r="O16" s="36">
        <f t="shared" si="2"/>
        <v>4.227827794656451E-2</v>
      </c>
      <c r="P16" s="36">
        <f t="shared" si="3"/>
        <v>1.4092759315521503E-2</v>
      </c>
      <c r="Q16" s="36">
        <f t="shared" si="4"/>
        <v>1.4092759315521503E-2</v>
      </c>
      <c r="R16" s="36">
        <f t="shared" si="5"/>
        <v>1.9964742363655461E-2</v>
      </c>
      <c r="S16" s="36">
        <f t="shared" si="6"/>
        <v>8.8732188282913162E-3</v>
      </c>
      <c r="T16" s="36">
        <f t="shared" si="7"/>
        <v>4.2031036555064127E-3</v>
      </c>
      <c r="U16" s="36">
        <f t="shared" si="8"/>
        <v>4.2031036555064127E-3</v>
      </c>
      <c r="V16" s="36"/>
      <c r="W16" s="39">
        <f t="shared" si="10"/>
        <v>1.5458655809378779E-2</v>
      </c>
      <c r="Y16" s="37">
        <f t="shared" si="9"/>
        <v>8</v>
      </c>
      <c r="AA16" cm="1">
        <f t="array" ref="AA16">SUM(--(COUNTIFS(E16:L16, E16:L16) &gt; 1))</f>
        <v>6</v>
      </c>
      <c r="AB16">
        <v>3</v>
      </c>
      <c r="AC16">
        <v>0</v>
      </c>
      <c r="AF16">
        <v>14</v>
      </c>
      <c r="AG16" t="s">
        <v>54</v>
      </c>
      <c r="AH16">
        <v>3500</v>
      </c>
      <c r="AI16">
        <v>1.9964742363655461E-2</v>
      </c>
    </row>
    <row r="17" spans="1:35" ht="16" x14ac:dyDescent="0.2">
      <c r="A17" s="5">
        <v>16</v>
      </c>
      <c r="B17" s="6" t="s">
        <v>127</v>
      </c>
      <c r="C17" s="6" t="s">
        <v>80</v>
      </c>
      <c r="D17" s="6" t="s">
        <v>81</v>
      </c>
      <c r="E17" s="6" t="s">
        <v>34</v>
      </c>
      <c r="F17" s="6" t="s">
        <v>34</v>
      </c>
      <c r="G17" s="6" t="s">
        <v>34</v>
      </c>
      <c r="H17" s="6" t="s">
        <v>54</v>
      </c>
      <c r="I17" s="6" t="s">
        <v>25</v>
      </c>
      <c r="J17" s="6" t="s">
        <v>26</v>
      </c>
      <c r="K17" s="6" t="s">
        <v>26</v>
      </c>
      <c r="L17" s="6" t="s">
        <v>26</v>
      </c>
      <c r="N17" s="36">
        <f t="shared" si="1"/>
        <v>4.227827794656451E-2</v>
      </c>
      <c r="O17" s="36">
        <f t="shared" si="2"/>
        <v>4.227827794656451E-2</v>
      </c>
      <c r="P17" s="36">
        <f t="shared" si="3"/>
        <v>4.227827794656451E-2</v>
      </c>
      <c r="Q17" s="36">
        <f t="shared" si="4"/>
        <v>1.9964742363655461E-2</v>
      </c>
      <c r="R17" s="36">
        <f t="shared" si="5"/>
        <v>2.8634690242693092E-3</v>
      </c>
      <c r="S17" s="36">
        <f t="shared" si="6"/>
        <v>0</v>
      </c>
      <c r="T17" s="36">
        <f t="shared" si="7"/>
        <v>0</v>
      </c>
      <c r="U17" s="36">
        <f t="shared" si="8"/>
        <v>0</v>
      </c>
      <c r="V17" s="36"/>
      <c r="W17" s="39">
        <f t="shared" si="10"/>
        <v>2.0595666543268137E-2</v>
      </c>
      <c r="Y17" s="37">
        <f t="shared" si="9"/>
        <v>5</v>
      </c>
      <c r="AA17" cm="1">
        <f t="array" ref="AA17">SUM(--(COUNTIFS(E17:L17, E17:L17) &gt; 1))</f>
        <v>6</v>
      </c>
      <c r="AB17">
        <v>0</v>
      </c>
      <c r="AC17">
        <v>1</v>
      </c>
      <c r="AF17">
        <v>15</v>
      </c>
      <c r="AG17" t="s">
        <v>32</v>
      </c>
      <c r="AH17">
        <v>3500</v>
      </c>
      <c r="AI17">
        <v>1.9964742363655461E-2</v>
      </c>
    </row>
    <row r="18" spans="1:35" ht="16" x14ac:dyDescent="0.2">
      <c r="A18" s="3">
        <v>17</v>
      </c>
      <c r="B18" s="4" t="s">
        <v>128</v>
      </c>
      <c r="C18" s="4" t="s">
        <v>129</v>
      </c>
      <c r="D18" s="4" t="s">
        <v>130</v>
      </c>
      <c r="E18" s="4" t="s">
        <v>15</v>
      </c>
      <c r="F18" s="4" t="s">
        <v>54</v>
      </c>
      <c r="G18" s="4" t="s">
        <v>26</v>
      </c>
      <c r="H18" s="4" t="s">
        <v>41</v>
      </c>
      <c r="I18" s="4" t="s">
        <v>34</v>
      </c>
      <c r="J18" s="4" t="s">
        <v>37</v>
      </c>
      <c r="K18" s="4" t="s">
        <v>167</v>
      </c>
      <c r="L18" s="4" t="s">
        <v>26</v>
      </c>
      <c r="N18" s="36">
        <f t="shared" si="1"/>
        <v>4.227827794656451E-2</v>
      </c>
      <c r="O18" s="36">
        <f t="shared" si="2"/>
        <v>1.9964742363655461E-2</v>
      </c>
      <c r="P18" s="36">
        <f t="shared" si="3"/>
        <v>0</v>
      </c>
      <c r="Q18" s="36">
        <f t="shared" si="4"/>
        <v>1.4092759315521503E-2</v>
      </c>
      <c r="R18" s="36">
        <f t="shared" si="5"/>
        <v>4.227827794656451E-2</v>
      </c>
      <c r="S18" s="36">
        <f t="shared" si="6"/>
        <v>2.4783818106606782E-2</v>
      </c>
      <c r="T18" s="36">
        <f t="shared" si="7"/>
        <v>5.9399233478644349E-3</v>
      </c>
      <c r="U18" s="36">
        <f t="shared" si="8"/>
        <v>0</v>
      </c>
      <c r="V18" s="36"/>
      <c r="W18" s="39">
        <f t="shared" si="10"/>
        <v>1.7045738583821617E-2</v>
      </c>
      <c r="Y18" s="37">
        <f t="shared" si="9"/>
        <v>6</v>
      </c>
      <c r="AA18" cm="1">
        <f t="array" ref="AA18">SUM(--(COUNTIFS(E18:L18, E18:L18) &gt; 1))</f>
        <v>2</v>
      </c>
      <c r="AB18">
        <v>1</v>
      </c>
      <c r="AC18">
        <v>0</v>
      </c>
      <c r="AF18">
        <v>16</v>
      </c>
      <c r="AG18" t="s">
        <v>44</v>
      </c>
      <c r="AH18">
        <v>3500</v>
      </c>
      <c r="AI18">
        <v>1.9964742363655461E-2</v>
      </c>
    </row>
    <row r="19" spans="1:35" ht="16" x14ac:dyDescent="0.2">
      <c r="A19" s="5">
        <v>18</v>
      </c>
      <c r="B19" s="6" t="s">
        <v>131</v>
      </c>
      <c r="C19" s="6" t="s">
        <v>45</v>
      </c>
      <c r="D19" s="6" t="s">
        <v>46</v>
      </c>
      <c r="E19" s="6" t="s">
        <v>34</v>
      </c>
      <c r="F19" s="6" t="s">
        <v>47</v>
      </c>
      <c r="G19" s="6" t="s">
        <v>27</v>
      </c>
      <c r="H19" s="6" t="s">
        <v>54</v>
      </c>
      <c r="I19" s="6" t="s">
        <v>21</v>
      </c>
      <c r="J19" s="6" t="s">
        <v>31</v>
      </c>
      <c r="K19" s="6" t="s">
        <v>26</v>
      </c>
      <c r="L19" s="6" t="s">
        <v>26</v>
      </c>
      <c r="N19" s="36">
        <f t="shared" si="1"/>
        <v>4.227827794656451E-2</v>
      </c>
      <c r="O19" s="36">
        <f t="shared" si="2"/>
        <v>3.422527262340936E-2</v>
      </c>
      <c r="P19" s="36">
        <f t="shared" si="3"/>
        <v>3.7827932899557715E-2</v>
      </c>
      <c r="Q19" s="36">
        <f t="shared" si="4"/>
        <v>1.9964742363655461E-2</v>
      </c>
      <c r="R19" s="36">
        <f t="shared" si="5"/>
        <v>1.2834477233778511E-2</v>
      </c>
      <c r="S19" s="36">
        <f t="shared" si="6"/>
        <v>2.6521428970169617E-3</v>
      </c>
      <c r="T19" s="36">
        <f t="shared" si="7"/>
        <v>0</v>
      </c>
      <c r="U19" s="36">
        <f t="shared" si="8"/>
        <v>0</v>
      </c>
      <c r="V19" s="36"/>
      <c r="W19" s="39">
        <f t="shared" si="10"/>
        <v>1.7548954250695598E-2</v>
      </c>
      <c r="Y19" s="37">
        <f t="shared" si="9"/>
        <v>6</v>
      </c>
      <c r="AA19" cm="1">
        <f t="array" ref="AA19">SUM(--(COUNTIFS(E19:L19, E19:L19) &gt; 1))</f>
        <v>2</v>
      </c>
      <c r="AB19">
        <v>0</v>
      </c>
      <c r="AC19">
        <v>0</v>
      </c>
      <c r="AF19">
        <v>17</v>
      </c>
      <c r="AG19" t="s">
        <v>164</v>
      </c>
      <c r="AH19">
        <v>4000</v>
      </c>
      <c r="AI19">
        <v>1.7530017685160895E-2</v>
      </c>
    </row>
    <row r="20" spans="1:35" ht="16" x14ac:dyDescent="0.2">
      <c r="A20" s="3">
        <v>19</v>
      </c>
      <c r="B20" s="4" t="s">
        <v>133</v>
      </c>
      <c r="C20" s="4" t="s">
        <v>134</v>
      </c>
      <c r="D20" s="4" t="s">
        <v>135</v>
      </c>
      <c r="E20" s="4" t="s">
        <v>43</v>
      </c>
      <c r="F20" s="4" t="s">
        <v>75</v>
      </c>
      <c r="G20" s="4" t="s">
        <v>75</v>
      </c>
      <c r="H20" s="4" t="s">
        <v>42</v>
      </c>
      <c r="I20" s="4" t="s">
        <v>42</v>
      </c>
      <c r="J20" s="4" t="s">
        <v>51</v>
      </c>
      <c r="K20" s="4" t="s">
        <v>26</v>
      </c>
      <c r="L20" s="4" t="s">
        <v>26</v>
      </c>
      <c r="N20" s="36">
        <f t="shared" si="1"/>
        <v>9.5830763345546216E-2</v>
      </c>
      <c r="O20" s="36">
        <f t="shared" si="2"/>
        <v>1.2834477233778511E-2</v>
      </c>
      <c r="P20" s="36">
        <f t="shared" si="3"/>
        <v>1.2834477233778511E-2</v>
      </c>
      <c r="Q20" s="36">
        <f t="shared" si="4"/>
        <v>1.0889859471084798E-2</v>
      </c>
      <c r="R20" s="36">
        <f t="shared" si="5"/>
        <v>1.0889859471084798E-2</v>
      </c>
      <c r="S20" s="36">
        <f t="shared" si="6"/>
        <v>6.4750515774017713E-3</v>
      </c>
      <c r="T20" s="36">
        <f t="shared" si="7"/>
        <v>0</v>
      </c>
      <c r="U20" s="36">
        <f t="shared" si="8"/>
        <v>0</v>
      </c>
      <c r="V20" s="36"/>
      <c r="W20" s="39">
        <f t="shared" si="10"/>
        <v>3.1597437372754861E-2</v>
      </c>
      <c r="Y20" s="37">
        <f t="shared" si="9"/>
        <v>6</v>
      </c>
      <c r="AA20" cm="1">
        <f t="array" ref="AA20">SUM(--(COUNTIFS(E20:L20, E20:L20) &gt; 1))</f>
        <v>6</v>
      </c>
      <c r="AB20">
        <v>2</v>
      </c>
      <c r="AC20">
        <v>0</v>
      </c>
      <c r="AF20">
        <v>18</v>
      </c>
      <c r="AG20" t="s">
        <v>41</v>
      </c>
      <c r="AH20">
        <v>5000</v>
      </c>
      <c r="AI20">
        <v>1.4092759315521503E-2</v>
      </c>
    </row>
    <row r="21" spans="1:35" ht="16" x14ac:dyDescent="0.2">
      <c r="A21" s="5">
        <v>20</v>
      </c>
      <c r="B21" s="6" t="s">
        <v>132</v>
      </c>
      <c r="C21" s="6" t="s">
        <v>134</v>
      </c>
      <c r="D21" s="6" t="s">
        <v>136</v>
      </c>
      <c r="E21" s="6" t="s">
        <v>34</v>
      </c>
      <c r="F21" s="6" t="s">
        <v>34</v>
      </c>
      <c r="G21" s="6" t="s">
        <v>34</v>
      </c>
      <c r="H21" s="6" t="s">
        <v>54</v>
      </c>
      <c r="I21" s="6" t="s">
        <v>25</v>
      </c>
      <c r="J21" s="6" t="s">
        <v>26</v>
      </c>
      <c r="K21" s="6" t="s">
        <v>26</v>
      </c>
      <c r="L21" s="6" t="s">
        <v>26</v>
      </c>
      <c r="N21" s="36">
        <f t="shared" si="1"/>
        <v>4.227827794656451E-2</v>
      </c>
      <c r="O21" s="36">
        <f t="shared" si="2"/>
        <v>4.227827794656451E-2</v>
      </c>
      <c r="P21" s="36">
        <f t="shared" si="3"/>
        <v>4.227827794656451E-2</v>
      </c>
      <c r="Q21" s="36">
        <f t="shared" si="4"/>
        <v>1.9964742363655461E-2</v>
      </c>
      <c r="R21" s="36">
        <f t="shared" si="5"/>
        <v>2.8634690242693092E-3</v>
      </c>
      <c r="S21" s="36">
        <f t="shared" si="6"/>
        <v>0</v>
      </c>
      <c r="T21" s="36">
        <f t="shared" si="7"/>
        <v>0</v>
      </c>
      <c r="U21" s="36">
        <f t="shared" si="8"/>
        <v>0</v>
      </c>
      <c r="V21" s="36"/>
      <c r="W21" s="39">
        <f t="shared" si="10"/>
        <v>2.0595666543268137E-2</v>
      </c>
      <c r="Y21" s="37">
        <f t="shared" si="9"/>
        <v>5</v>
      </c>
      <c r="AA21" cm="1">
        <f t="array" ref="AA21">SUM(--(COUNTIFS(E21:L21, E21:L21) &gt; 1))</f>
        <v>6</v>
      </c>
      <c r="AB21">
        <v>0</v>
      </c>
      <c r="AC21">
        <v>1</v>
      </c>
      <c r="AF21">
        <v>19</v>
      </c>
      <c r="AG21" t="s">
        <v>165</v>
      </c>
      <c r="AH21">
        <v>5500</v>
      </c>
      <c r="AI21">
        <v>1.2834477233778511E-2</v>
      </c>
    </row>
    <row r="22" spans="1:35" ht="16" x14ac:dyDescent="0.2">
      <c r="A22" s="3">
        <v>21</v>
      </c>
      <c r="B22" s="4" t="s">
        <v>137</v>
      </c>
      <c r="C22" s="4" t="s">
        <v>35</v>
      </c>
      <c r="D22" s="4" t="s">
        <v>36</v>
      </c>
      <c r="E22" s="4" t="s">
        <v>15</v>
      </c>
      <c r="F22" s="4" t="s">
        <v>34</v>
      </c>
      <c r="G22" s="4" t="s">
        <v>54</v>
      </c>
      <c r="H22" s="4" t="s">
        <v>75</v>
      </c>
      <c r="I22" s="4" t="s">
        <v>23</v>
      </c>
      <c r="J22" s="4" t="s">
        <v>51</v>
      </c>
      <c r="K22" s="4" t="s">
        <v>64</v>
      </c>
      <c r="L22" s="4" t="s">
        <v>64</v>
      </c>
      <c r="N22" s="36">
        <f t="shared" si="1"/>
        <v>4.227827794656451E-2</v>
      </c>
      <c r="O22" s="36">
        <f t="shared" si="2"/>
        <v>4.227827794656451E-2</v>
      </c>
      <c r="P22" s="36">
        <f t="shared" si="3"/>
        <v>1.9964742363655461E-2</v>
      </c>
      <c r="Q22" s="36">
        <f t="shared" si="4"/>
        <v>1.2834477233778511E-2</v>
      </c>
      <c r="R22" s="36">
        <f t="shared" si="5"/>
        <v>1.178247090314093E-2</v>
      </c>
      <c r="S22" s="36">
        <f t="shared" si="6"/>
        <v>6.4750515774017713E-3</v>
      </c>
      <c r="T22" s="36">
        <f t="shared" si="7"/>
        <v>5.9399233478644349E-3</v>
      </c>
      <c r="U22" s="36">
        <f t="shared" si="8"/>
        <v>5.9399233478644349E-3</v>
      </c>
      <c r="V22" s="36"/>
      <c r="W22" s="39">
        <f t="shared" si="10"/>
        <v>1.5446960600583511E-2</v>
      </c>
      <c r="Y22" s="37">
        <f t="shared" si="9"/>
        <v>8</v>
      </c>
      <c r="AA22" cm="1">
        <f t="array" ref="AA22">SUM(--(COUNTIFS(E22:L22, E22:L22) &gt; 1))</f>
        <v>2</v>
      </c>
      <c r="AB22">
        <v>1</v>
      </c>
      <c r="AC22">
        <v>0</v>
      </c>
      <c r="AF22">
        <v>20</v>
      </c>
      <c r="AG22" t="s">
        <v>75</v>
      </c>
      <c r="AH22">
        <v>5500</v>
      </c>
      <c r="AI22">
        <v>1.2834477233778511E-2</v>
      </c>
    </row>
    <row r="23" spans="1:35" ht="16" x14ac:dyDescent="0.2">
      <c r="A23" s="5">
        <v>22</v>
      </c>
      <c r="B23" s="6" t="s">
        <v>138</v>
      </c>
      <c r="C23" s="6" t="s">
        <v>98</v>
      </c>
      <c r="D23" s="6" t="s">
        <v>99</v>
      </c>
      <c r="E23" s="6" t="s">
        <v>34</v>
      </c>
      <c r="F23" s="6" t="s">
        <v>37</v>
      </c>
      <c r="G23" s="6" t="s">
        <v>54</v>
      </c>
      <c r="H23" s="6" t="s">
        <v>44</v>
      </c>
      <c r="I23" s="6" t="s">
        <v>75</v>
      </c>
      <c r="J23" s="6" t="s">
        <v>38</v>
      </c>
      <c r="K23" s="6" t="s">
        <v>22</v>
      </c>
      <c r="L23" s="6" t="s">
        <v>50</v>
      </c>
      <c r="N23" s="36">
        <f t="shared" si="1"/>
        <v>4.227827794656451E-2</v>
      </c>
      <c r="O23" s="36">
        <f t="shared" si="2"/>
        <v>2.4783818106606782E-2</v>
      </c>
      <c r="P23" s="36">
        <f t="shared" si="3"/>
        <v>1.9964742363655461E-2</v>
      </c>
      <c r="Q23" s="36">
        <f t="shared" si="4"/>
        <v>1.9964742363655461E-2</v>
      </c>
      <c r="R23" s="36">
        <f t="shared" si="5"/>
        <v>1.2834477233778511E-2</v>
      </c>
      <c r="S23" s="36">
        <f t="shared" si="6"/>
        <v>1.0889859471084798E-2</v>
      </c>
      <c r="T23" s="36">
        <f t="shared" si="7"/>
        <v>9.4569832248894287E-3</v>
      </c>
      <c r="U23" s="36">
        <f t="shared" si="8"/>
        <v>8.8732188282913162E-3</v>
      </c>
      <c r="V23" s="36"/>
      <c r="W23" s="39">
        <f t="shared" si="10"/>
        <v>1.117081958836739E-2</v>
      </c>
      <c r="Y23" s="37">
        <f t="shared" si="9"/>
        <v>8</v>
      </c>
      <c r="AA23" cm="1">
        <f t="array" ref="AA23">SUM(--(COUNTIFS(E23:L23, E23:L23) &gt; 1))</f>
        <v>0</v>
      </c>
      <c r="AB23">
        <v>0</v>
      </c>
      <c r="AC23">
        <v>0</v>
      </c>
      <c r="AF23">
        <v>21</v>
      </c>
      <c r="AG23" t="s">
        <v>21</v>
      </c>
      <c r="AH23">
        <v>5500</v>
      </c>
      <c r="AI23">
        <v>1.2834477233778511E-2</v>
      </c>
    </row>
    <row r="24" spans="1:35" ht="16" x14ac:dyDescent="0.2">
      <c r="A24" s="3">
        <v>23</v>
      </c>
      <c r="B24" s="4" t="s">
        <v>139</v>
      </c>
      <c r="C24" s="4" t="s">
        <v>141</v>
      </c>
      <c r="D24" s="4" t="s">
        <v>142</v>
      </c>
      <c r="E24" s="4" t="s">
        <v>15</v>
      </c>
      <c r="F24" s="4" t="s">
        <v>15</v>
      </c>
      <c r="G24" s="4" t="s">
        <v>15</v>
      </c>
      <c r="H24" s="4" t="s">
        <v>23</v>
      </c>
      <c r="I24" s="4" t="s">
        <v>38</v>
      </c>
      <c r="J24" s="4" t="s">
        <v>26</v>
      </c>
      <c r="K24" s="4" t="s">
        <v>26</v>
      </c>
      <c r="L24" s="4" t="s">
        <v>26</v>
      </c>
      <c r="N24" s="36">
        <f t="shared" si="1"/>
        <v>4.227827794656451E-2</v>
      </c>
      <c r="O24" s="36">
        <f t="shared" si="2"/>
        <v>4.227827794656451E-2</v>
      </c>
      <c r="P24" s="36">
        <f t="shared" si="3"/>
        <v>4.227827794656451E-2</v>
      </c>
      <c r="Q24" s="36">
        <f t="shared" si="4"/>
        <v>1.178247090314093E-2</v>
      </c>
      <c r="R24" s="36">
        <f t="shared" si="5"/>
        <v>1.0889859471084798E-2</v>
      </c>
      <c r="S24" s="36">
        <f t="shared" si="6"/>
        <v>0</v>
      </c>
      <c r="T24" s="36">
        <f t="shared" si="7"/>
        <v>0</v>
      </c>
      <c r="U24" s="36">
        <f t="shared" si="8"/>
        <v>0</v>
      </c>
      <c r="V24" s="36"/>
      <c r="W24" s="39">
        <f t="shared" si="10"/>
        <v>2.0091664936177069E-2</v>
      </c>
      <c r="Y24" s="37">
        <f t="shared" si="9"/>
        <v>5</v>
      </c>
      <c r="AA24" cm="1">
        <f t="array" ref="AA24">SUM(--(COUNTIFS(E24:L24, E24:L24) &gt; 1))</f>
        <v>6</v>
      </c>
      <c r="AB24">
        <v>0</v>
      </c>
      <c r="AC24">
        <v>1</v>
      </c>
      <c r="AF24">
        <v>22</v>
      </c>
      <c r="AG24" t="s">
        <v>23</v>
      </c>
      <c r="AH24">
        <v>6000</v>
      </c>
      <c r="AI24">
        <v>1.178247090314093E-2</v>
      </c>
    </row>
    <row r="25" spans="1:35" ht="16" x14ac:dyDescent="0.2">
      <c r="A25" s="5">
        <v>24</v>
      </c>
      <c r="B25" s="6" t="s">
        <v>140</v>
      </c>
      <c r="C25" s="6" t="s">
        <v>141</v>
      </c>
      <c r="D25" s="6" t="s">
        <v>143</v>
      </c>
      <c r="E25" s="6" t="s">
        <v>43</v>
      </c>
      <c r="F25" s="6" t="s">
        <v>14</v>
      </c>
      <c r="G25" s="6" t="s">
        <v>20</v>
      </c>
      <c r="H25" s="6" t="s">
        <v>61</v>
      </c>
      <c r="I25" s="6" t="s">
        <v>26</v>
      </c>
      <c r="J25" s="6" t="s">
        <v>26</v>
      </c>
      <c r="K25" s="6" t="s">
        <v>26</v>
      </c>
      <c r="L25" s="6" t="s">
        <v>26</v>
      </c>
      <c r="N25" s="36">
        <f t="shared" si="1"/>
        <v>9.5830763345546216E-2</v>
      </c>
      <c r="O25" s="36">
        <f t="shared" si="2"/>
        <v>2.4783818106606782E-2</v>
      </c>
      <c r="P25" s="36">
        <f t="shared" si="3"/>
        <v>2.3184862099728924E-2</v>
      </c>
      <c r="Q25" s="36">
        <f t="shared" si="4"/>
        <v>5.9399233478644349E-3</v>
      </c>
      <c r="R25" s="36">
        <f t="shared" si="5"/>
        <v>0</v>
      </c>
      <c r="S25" s="36">
        <f t="shared" si="6"/>
        <v>0</v>
      </c>
      <c r="T25" s="36">
        <f t="shared" si="7"/>
        <v>0</v>
      </c>
      <c r="U25" s="36">
        <f t="shared" si="8"/>
        <v>0</v>
      </c>
      <c r="V25" s="36"/>
      <c r="W25" s="39">
        <f t="shared" si="10"/>
        <v>3.2880429727273723E-2</v>
      </c>
      <c r="Y25" s="37">
        <f t="shared" si="9"/>
        <v>4</v>
      </c>
      <c r="AA25" cm="1">
        <f t="array" ref="AA25">SUM(--(COUNTIFS(E25:L25, E25:L25) &gt; 1))</f>
        <v>4</v>
      </c>
      <c r="AB25">
        <v>0</v>
      </c>
      <c r="AC25">
        <v>0</v>
      </c>
      <c r="AF25">
        <v>23</v>
      </c>
      <c r="AG25" t="s">
        <v>42</v>
      </c>
      <c r="AH25">
        <v>6500</v>
      </c>
      <c r="AI25">
        <v>1.0889859471084798E-2</v>
      </c>
    </row>
    <row r="26" spans="1:35" ht="16" x14ac:dyDescent="0.2">
      <c r="A26" s="3">
        <v>25</v>
      </c>
      <c r="B26" s="4" t="s">
        <v>144</v>
      </c>
      <c r="C26" s="4" t="s">
        <v>48</v>
      </c>
      <c r="D26" s="4" t="s">
        <v>49</v>
      </c>
      <c r="E26" s="4" t="s">
        <v>27</v>
      </c>
      <c r="F26" s="4" t="s">
        <v>33</v>
      </c>
      <c r="G26" s="4" t="s">
        <v>41</v>
      </c>
      <c r="H26" s="4" t="s">
        <v>75</v>
      </c>
      <c r="I26" s="4" t="s">
        <v>34</v>
      </c>
      <c r="J26" s="4" t="s">
        <v>16</v>
      </c>
      <c r="K26" s="4" t="s">
        <v>168</v>
      </c>
      <c r="L26" s="4" t="s">
        <v>26</v>
      </c>
      <c r="N26" s="36">
        <f t="shared" si="1"/>
        <v>3.7827932899557715E-2</v>
      </c>
      <c r="O26" s="36">
        <f t="shared" si="2"/>
        <v>3.1249161960504201E-2</v>
      </c>
      <c r="P26" s="36">
        <f t="shared" si="3"/>
        <v>1.4092759315521503E-2</v>
      </c>
      <c r="Q26" s="36">
        <f t="shared" si="4"/>
        <v>1.2834477233778511E-2</v>
      </c>
      <c r="R26" s="36">
        <f t="shared" si="5"/>
        <v>4.227827794656451E-2</v>
      </c>
      <c r="S26" s="36">
        <f t="shared" si="6"/>
        <v>6.4750515774017713E-3</v>
      </c>
      <c r="T26" s="36">
        <f t="shared" si="7"/>
        <v>4.7598061264344151E-3</v>
      </c>
      <c r="U26" s="36">
        <f t="shared" si="8"/>
        <v>0</v>
      </c>
      <c r="V26" s="36"/>
      <c r="W26" s="39">
        <f t="shared" si="10"/>
        <v>1.6161652212210671E-2</v>
      </c>
      <c r="Y26" s="37">
        <f t="shared" si="9"/>
        <v>7</v>
      </c>
      <c r="AA26" cm="1">
        <f t="array" ref="AA26">SUM(--(COUNTIFS(E26:L26, E26:L26) &gt; 1))</f>
        <v>0</v>
      </c>
      <c r="AB26">
        <v>0</v>
      </c>
      <c r="AC26">
        <v>0</v>
      </c>
      <c r="AF26">
        <v>24</v>
      </c>
      <c r="AG26" t="s">
        <v>38</v>
      </c>
      <c r="AH26">
        <v>6500</v>
      </c>
      <c r="AI26">
        <v>1.0889859471084798E-2</v>
      </c>
    </row>
    <row r="27" spans="1:35" ht="16" x14ac:dyDescent="0.2">
      <c r="A27" s="5">
        <v>26</v>
      </c>
      <c r="B27" s="6" t="s">
        <v>145</v>
      </c>
      <c r="C27" s="6" t="s">
        <v>67</v>
      </c>
      <c r="D27" s="6" t="s">
        <v>68</v>
      </c>
      <c r="E27" s="6" t="s">
        <v>69</v>
      </c>
      <c r="F27" s="6" t="s">
        <v>15</v>
      </c>
      <c r="G27" s="6" t="s">
        <v>37</v>
      </c>
      <c r="H27" s="6" t="s">
        <v>20</v>
      </c>
      <c r="I27" s="6" t="s">
        <v>23</v>
      </c>
      <c r="J27" s="6" t="s">
        <v>26</v>
      </c>
      <c r="K27" s="6" t="s">
        <v>26</v>
      </c>
      <c r="L27" s="6" t="s">
        <v>26</v>
      </c>
      <c r="N27" s="36">
        <f t="shared" si="1"/>
        <v>4.7915381672773108E-2</v>
      </c>
      <c r="O27" s="36">
        <f t="shared" si="2"/>
        <v>4.227827794656451E-2</v>
      </c>
      <c r="P27" s="36">
        <f t="shared" si="3"/>
        <v>2.4783818106606782E-2</v>
      </c>
      <c r="Q27" s="36">
        <f t="shared" si="4"/>
        <v>2.3184862099728924E-2</v>
      </c>
      <c r="R27" s="36">
        <f t="shared" si="5"/>
        <v>1.178247090314093E-2</v>
      </c>
      <c r="S27" s="36">
        <f t="shared" si="6"/>
        <v>0</v>
      </c>
      <c r="T27" s="36">
        <f t="shared" si="7"/>
        <v>0</v>
      </c>
      <c r="U27" s="36">
        <f t="shared" si="8"/>
        <v>0</v>
      </c>
      <c r="V27" s="36"/>
      <c r="W27" s="39">
        <f t="shared" si="10"/>
        <v>1.9136755565516066E-2</v>
      </c>
      <c r="Y27" s="37">
        <f t="shared" si="9"/>
        <v>5</v>
      </c>
      <c r="AA27" cm="1">
        <f t="array" ref="AA27">SUM(--(COUNTIFS(E27:L27, E27:L27) &gt; 1))</f>
        <v>3</v>
      </c>
      <c r="AB27">
        <v>0</v>
      </c>
      <c r="AC27">
        <v>0</v>
      </c>
      <c r="AF27">
        <v>25</v>
      </c>
      <c r="AG27" t="s">
        <v>22</v>
      </c>
      <c r="AH27">
        <v>7500</v>
      </c>
      <c r="AI27">
        <v>9.4569832248894287E-3</v>
      </c>
    </row>
    <row r="28" spans="1:35" ht="16" x14ac:dyDescent="0.2">
      <c r="A28" s="3">
        <v>27</v>
      </c>
      <c r="B28" s="4" t="s">
        <v>147</v>
      </c>
      <c r="C28" s="4" t="s">
        <v>86</v>
      </c>
      <c r="D28" s="4" t="s">
        <v>57</v>
      </c>
      <c r="E28" s="4" t="s">
        <v>55</v>
      </c>
      <c r="F28" s="4" t="s">
        <v>55</v>
      </c>
      <c r="G28" s="4" t="s">
        <v>54</v>
      </c>
      <c r="H28" s="4" t="s">
        <v>43</v>
      </c>
      <c r="I28" s="4" t="s">
        <v>75</v>
      </c>
      <c r="J28" s="4" t="s">
        <v>55</v>
      </c>
      <c r="K28" s="4" t="s">
        <v>26</v>
      </c>
      <c r="L28" s="4" t="s">
        <v>26</v>
      </c>
      <c r="N28" s="36">
        <f t="shared" si="1"/>
        <v>6.4750515774017713E-3</v>
      </c>
      <c r="O28" s="36">
        <f t="shared" si="2"/>
        <v>6.4750515774017713E-3</v>
      </c>
      <c r="P28" s="36">
        <f t="shared" si="3"/>
        <v>1.9964742363655461E-2</v>
      </c>
      <c r="Q28" s="36">
        <f t="shared" si="4"/>
        <v>9.5830763345546216E-2</v>
      </c>
      <c r="R28" s="36">
        <f t="shared" si="5"/>
        <v>1.2834477233778511E-2</v>
      </c>
      <c r="S28" s="36">
        <f t="shared" si="6"/>
        <v>6.4750515774017713E-3</v>
      </c>
      <c r="T28" s="36">
        <f t="shared" si="7"/>
        <v>0</v>
      </c>
      <c r="U28" s="36">
        <f t="shared" si="8"/>
        <v>0</v>
      </c>
      <c r="V28" s="36"/>
      <c r="W28" s="39">
        <f t="shared" si="10"/>
        <v>3.1920858276344673E-2</v>
      </c>
      <c r="Y28" s="37">
        <f t="shared" si="9"/>
        <v>6</v>
      </c>
      <c r="AA28" cm="1">
        <f t="array" ref="AA28">SUM(--(COUNTIFS(E28:L28, E28:L28) &gt; 1))</f>
        <v>5</v>
      </c>
      <c r="AB28">
        <v>0</v>
      </c>
      <c r="AC28">
        <v>1</v>
      </c>
      <c r="AF28">
        <v>26</v>
      </c>
      <c r="AG28" t="s">
        <v>50</v>
      </c>
      <c r="AH28">
        <v>8000</v>
      </c>
      <c r="AI28">
        <v>8.8732188282913162E-3</v>
      </c>
    </row>
    <row r="29" spans="1:35" ht="16" x14ac:dyDescent="0.2">
      <c r="A29" s="5">
        <v>28</v>
      </c>
      <c r="B29" s="6" t="s">
        <v>148</v>
      </c>
      <c r="C29" s="6" t="s">
        <v>82</v>
      </c>
      <c r="D29" s="6" t="s">
        <v>83</v>
      </c>
      <c r="E29" s="6" t="s">
        <v>34</v>
      </c>
      <c r="F29" s="6" t="s">
        <v>34</v>
      </c>
      <c r="G29" s="6" t="s">
        <v>47</v>
      </c>
      <c r="H29" s="6" t="s">
        <v>44</v>
      </c>
      <c r="I29" s="6" t="s">
        <v>94</v>
      </c>
      <c r="J29" s="6" t="s">
        <v>178</v>
      </c>
      <c r="K29" s="6" t="s">
        <v>26</v>
      </c>
      <c r="L29" s="6" t="s">
        <v>26</v>
      </c>
      <c r="N29" s="36">
        <f t="shared" si="1"/>
        <v>4.227827794656451E-2</v>
      </c>
      <c r="O29" s="36">
        <f t="shared" si="2"/>
        <v>4.227827794656451E-2</v>
      </c>
      <c r="P29" s="36">
        <f t="shared" si="3"/>
        <v>3.422527262340936E-2</v>
      </c>
      <c r="Q29" s="36">
        <f t="shared" si="4"/>
        <v>1.9964742363655461E-2</v>
      </c>
      <c r="R29" s="36">
        <f t="shared" si="5"/>
        <v>8.8732188282913162E-3</v>
      </c>
      <c r="S29" s="36">
        <f t="shared" si="6"/>
        <v>1.4345922656518893E-3</v>
      </c>
      <c r="T29" s="36">
        <f t="shared" si="7"/>
        <v>0</v>
      </c>
      <c r="U29" s="36">
        <f t="shared" si="8"/>
        <v>0</v>
      </c>
      <c r="V29" s="36"/>
      <c r="W29" s="39">
        <f t="shared" si="10"/>
        <v>1.8702584867871977E-2</v>
      </c>
      <c r="Y29" s="37">
        <f t="shared" si="9"/>
        <v>6</v>
      </c>
      <c r="AA29" cm="1">
        <f t="array" ref="AA29">SUM(--(COUNTIFS(E29:L29, E29:L29) &gt; 1))</f>
        <v>4</v>
      </c>
      <c r="AB29">
        <v>1</v>
      </c>
      <c r="AC29">
        <v>0</v>
      </c>
      <c r="AF29">
        <v>27</v>
      </c>
      <c r="AG29" t="s">
        <v>208</v>
      </c>
      <c r="AH29">
        <v>8000</v>
      </c>
      <c r="AI29">
        <v>8.8732188282913162E-3</v>
      </c>
    </row>
    <row r="30" spans="1:35" ht="16" x14ac:dyDescent="0.2">
      <c r="A30" s="3">
        <v>29</v>
      </c>
      <c r="B30" s="4" t="s">
        <v>149</v>
      </c>
      <c r="C30" s="4" t="s">
        <v>150</v>
      </c>
      <c r="D30" s="4" t="s">
        <v>151</v>
      </c>
      <c r="E30" s="4" t="s">
        <v>47</v>
      </c>
      <c r="F30" s="4" t="s">
        <v>47</v>
      </c>
      <c r="G30" s="4" t="s">
        <v>14</v>
      </c>
      <c r="H30" s="4" t="s">
        <v>14</v>
      </c>
      <c r="I30" s="4" t="s">
        <v>165</v>
      </c>
      <c r="J30" s="4" t="s">
        <v>165</v>
      </c>
      <c r="K30" s="4" t="s">
        <v>26</v>
      </c>
      <c r="L30" s="4" t="s">
        <v>26</v>
      </c>
      <c r="N30" s="36">
        <f t="shared" si="1"/>
        <v>3.422527262340936E-2</v>
      </c>
      <c r="O30" s="36">
        <f t="shared" si="2"/>
        <v>3.422527262340936E-2</v>
      </c>
      <c r="P30" s="36">
        <f t="shared" si="3"/>
        <v>2.4783818106606782E-2</v>
      </c>
      <c r="Q30" s="36">
        <f t="shared" si="4"/>
        <v>2.4783818106606782E-2</v>
      </c>
      <c r="R30" s="36">
        <f t="shared" si="5"/>
        <v>1.2834477233778511E-2</v>
      </c>
      <c r="S30" s="36">
        <f t="shared" si="6"/>
        <v>1.2834477233778511E-2</v>
      </c>
      <c r="T30" s="36">
        <f t="shared" si="7"/>
        <v>0</v>
      </c>
      <c r="U30" s="36">
        <f t="shared" si="8"/>
        <v>0</v>
      </c>
      <c r="V30" s="36"/>
      <c r="W30" s="39">
        <f t="shared" si="10"/>
        <v>1.3731675243864332E-2</v>
      </c>
      <c r="Y30" s="37">
        <f t="shared" si="9"/>
        <v>6</v>
      </c>
      <c r="AA30" cm="1">
        <f t="array" ref="AA30">SUM(--(COUNTIFS(E30:L30, E30:L30) &gt; 1))</f>
        <v>8</v>
      </c>
      <c r="AB30">
        <v>3</v>
      </c>
      <c r="AC30">
        <v>0</v>
      </c>
      <c r="AF30">
        <v>28</v>
      </c>
      <c r="AG30" t="s">
        <v>94</v>
      </c>
      <c r="AH30">
        <v>8000</v>
      </c>
      <c r="AI30">
        <v>8.8732188282913162E-3</v>
      </c>
    </row>
    <row r="31" spans="1:35" ht="16" x14ac:dyDescent="0.2">
      <c r="A31" s="5">
        <v>30</v>
      </c>
      <c r="B31" s="6" t="s">
        <v>152</v>
      </c>
      <c r="C31" s="6" t="s">
        <v>52</v>
      </c>
      <c r="D31" s="6" t="s">
        <v>53</v>
      </c>
      <c r="E31" s="6" t="s">
        <v>16</v>
      </c>
      <c r="F31" s="6" t="s">
        <v>180</v>
      </c>
      <c r="G31" s="6" t="s">
        <v>54</v>
      </c>
      <c r="H31" s="6" t="s">
        <v>32</v>
      </c>
      <c r="I31" s="6" t="s">
        <v>32</v>
      </c>
      <c r="J31" s="6" t="s">
        <v>94</v>
      </c>
      <c r="K31" s="6" t="s">
        <v>15</v>
      </c>
      <c r="L31" s="6" t="s">
        <v>33</v>
      </c>
      <c r="N31" s="36">
        <f t="shared" si="1"/>
        <v>6.4750515774017713E-3</v>
      </c>
      <c r="O31" s="36">
        <f t="shared" si="2"/>
        <v>7.1801271237921743E-4</v>
      </c>
      <c r="P31" s="36">
        <f t="shared" si="3"/>
        <v>1.9964742363655461E-2</v>
      </c>
      <c r="Q31" s="36">
        <f t="shared" si="4"/>
        <v>1.9964742363655461E-2</v>
      </c>
      <c r="R31" s="36">
        <f t="shared" si="5"/>
        <v>1.9964742363655461E-2</v>
      </c>
      <c r="S31" s="36">
        <f t="shared" si="6"/>
        <v>8.8732188282913162E-3</v>
      </c>
      <c r="T31" s="36">
        <f t="shared" si="7"/>
        <v>4.227827794656451E-2</v>
      </c>
      <c r="U31" s="36">
        <f t="shared" si="8"/>
        <v>3.1249161960504201E-2</v>
      </c>
      <c r="V31" s="36"/>
      <c r="W31" s="39">
        <f t="shared" si="10"/>
        <v>1.356245166481247E-2</v>
      </c>
      <c r="Y31" s="37">
        <f t="shared" si="9"/>
        <v>8</v>
      </c>
      <c r="AA31" cm="1">
        <f t="array" ref="AA31">SUM(--(COUNTIFS(E31:L31, E31:L31) &gt; 1))</f>
        <v>2</v>
      </c>
      <c r="AB31">
        <v>1</v>
      </c>
      <c r="AC31">
        <v>0</v>
      </c>
      <c r="AF31">
        <v>29</v>
      </c>
      <c r="AG31" t="s">
        <v>224</v>
      </c>
      <c r="AH31">
        <v>8000</v>
      </c>
      <c r="AI31">
        <v>8.8732188282913162E-3</v>
      </c>
    </row>
    <row r="32" spans="1:35" ht="16" x14ac:dyDescent="0.2">
      <c r="A32" s="3">
        <v>31</v>
      </c>
      <c r="B32" s="4" t="s">
        <v>91</v>
      </c>
      <c r="C32" s="4" t="s">
        <v>92</v>
      </c>
      <c r="D32" s="4" t="s">
        <v>93</v>
      </c>
      <c r="E32" s="4" t="s">
        <v>34</v>
      </c>
      <c r="F32" s="4" t="s">
        <v>27</v>
      </c>
      <c r="G32" s="4" t="s">
        <v>20</v>
      </c>
      <c r="H32" s="4" t="s">
        <v>74</v>
      </c>
      <c r="I32" s="4" t="s">
        <v>37</v>
      </c>
      <c r="J32" s="4" t="s">
        <v>179</v>
      </c>
      <c r="K32" s="4" t="s">
        <v>26</v>
      </c>
      <c r="L32" s="4" t="s">
        <v>26</v>
      </c>
      <c r="N32" s="36">
        <f t="shared" si="1"/>
        <v>4.227827794656451E-2</v>
      </c>
      <c r="O32" s="36">
        <f t="shared" si="2"/>
        <v>3.7827932899557715E-2</v>
      </c>
      <c r="P32" s="36">
        <f t="shared" si="3"/>
        <v>2.3184862099728924E-2</v>
      </c>
      <c r="Q32" s="36">
        <f t="shared" si="4"/>
        <v>2.1139138973282255E-2</v>
      </c>
      <c r="R32" s="36">
        <f t="shared" si="5"/>
        <v>2.4783818106606782E-2</v>
      </c>
      <c r="S32" s="36">
        <f t="shared" si="6"/>
        <v>7.1801271237921743E-4</v>
      </c>
      <c r="T32" s="36">
        <f t="shared" si="7"/>
        <v>0</v>
      </c>
      <c r="U32" s="36">
        <f t="shared" si="8"/>
        <v>0</v>
      </c>
      <c r="V32" s="36"/>
      <c r="W32" s="39">
        <f t="shared" si="10"/>
        <v>1.6935201390421505E-2</v>
      </c>
      <c r="Y32" s="37">
        <f t="shared" si="9"/>
        <v>6</v>
      </c>
      <c r="AA32" cm="1">
        <f t="array" ref="AA32">SUM(--(COUNTIFS(E32:L32, E32:L32) &gt; 1))</f>
        <v>2</v>
      </c>
      <c r="AB32">
        <v>1</v>
      </c>
      <c r="AC32">
        <v>0</v>
      </c>
      <c r="AF32">
        <v>30</v>
      </c>
      <c r="AG32" t="s">
        <v>30</v>
      </c>
      <c r="AH32">
        <v>8000</v>
      </c>
      <c r="AI32">
        <v>8.8732188282913162E-3</v>
      </c>
    </row>
    <row r="33" spans="1:35" ht="16" x14ac:dyDescent="0.2">
      <c r="A33" s="5">
        <v>32</v>
      </c>
      <c r="B33" s="6" t="s">
        <v>153</v>
      </c>
      <c r="C33" s="6" t="s">
        <v>89</v>
      </c>
      <c r="D33" s="6" t="s">
        <v>90</v>
      </c>
      <c r="E33" s="6" t="s">
        <v>34</v>
      </c>
      <c r="F33" s="6" t="s">
        <v>32</v>
      </c>
      <c r="G33" s="6" t="s">
        <v>41</v>
      </c>
      <c r="H33" s="6" t="s">
        <v>94</v>
      </c>
      <c r="I33" s="6" t="s">
        <v>28</v>
      </c>
      <c r="J33" s="6" t="s">
        <v>169</v>
      </c>
      <c r="K33" s="6" t="s">
        <v>34</v>
      </c>
      <c r="L33" s="6" t="s">
        <v>94</v>
      </c>
      <c r="N33" s="36">
        <f t="shared" si="1"/>
        <v>4.227827794656451E-2</v>
      </c>
      <c r="O33" s="36">
        <f t="shared" si="2"/>
        <v>1.9964742363655461E-2</v>
      </c>
      <c r="P33" s="36">
        <f t="shared" si="3"/>
        <v>1.4092759315521503E-2</v>
      </c>
      <c r="Q33" s="36">
        <f t="shared" si="4"/>
        <v>8.8732188282913162E-3</v>
      </c>
      <c r="R33" s="36">
        <f t="shared" si="5"/>
        <v>7.8981398361713927E-3</v>
      </c>
      <c r="S33" s="36">
        <f t="shared" si="6"/>
        <v>4.7598061264344151E-3</v>
      </c>
      <c r="T33" s="36">
        <f t="shared" si="7"/>
        <v>4.227827794656451E-2</v>
      </c>
      <c r="U33" s="36">
        <f t="shared" si="8"/>
        <v>8.8732188282913162E-3</v>
      </c>
      <c r="V33" s="36"/>
      <c r="W33" s="39">
        <f t="shared" si="10"/>
        <v>1.5300769308930984E-2</v>
      </c>
      <c r="Y33" s="37">
        <f t="shared" si="9"/>
        <v>8</v>
      </c>
      <c r="AA33" cm="1">
        <f t="array" ref="AA33">SUM(--(COUNTIFS(E33:L33, E33:L33) &gt; 1))</f>
        <v>4</v>
      </c>
      <c r="AB33">
        <v>2</v>
      </c>
      <c r="AC33">
        <v>0</v>
      </c>
      <c r="AF33">
        <v>31</v>
      </c>
      <c r="AG33" t="s">
        <v>29</v>
      </c>
      <c r="AH33">
        <v>8000</v>
      </c>
      <c r="AI33">
        <v>8.8732188282913162E-3</v>
      </c>
    </row>
    <row r="34" spans="1:35" ht="16" x14ac:dyDescent="0.2">
      <c r="A34" s="3">
        <v>33</v>
      </c>
      <c r="B34" s="4" t="s">
        <v>159</v>
      </c>
      <c r="C34" s="4" t="s">
        <v>154</v>
      </c>
      <c r="D34" s="4" t="s">
        <v>155</v>
      </c>
      <c r="E34" s="4" t="s">
        <v>15</v>
      </c>
      <c r="F34" s="4" t="s">
        <v>15</v>
      </c>
      <c r="G34" s="4" t="s">
        <v>51</v>
      </c>
      <c r="H34" s="4" t="s">
        <v>29</v>
      </c>
      <c r="I34" s="4" t="s">
        <v>33</v>
      </c>
      <c r="J34" s="4" t="s">
        <v>167</v>
      </c>
      <c r="K34" s="4" t="s">
        <v>88</v>
      </c>
      <c r="L34" s="4" t="s">
        <v>22</v>
      </c>
      <c r="N34" s="36">
        <f t="shared" si="1"/>
        <v>4.227827794656451E-2</v>
      </c>
      <c r="O34" s="36">
        <f t="shared" si="2"/>
        <v>4.227827794656451E-2</v>
      </c>
      <c r="P34" s="36">
        <f t="shared" si="3"/>
        <v>6.4750515774017713E-3</v>
      </c>
      <c r="Q34" s="36">
        <f t="shared" si="4"/>
        <v>8.8732188282913162E-3</v>
      </c>
      <c r="R34" s="36">
        <f t="shared" si="5"/>
        <v>3.1249161960504201E-2</v>
      </c>
      <c r="S34" s="36">
        <f t="shared" si="6"/>
        <v>5.9399233478644349E-3</v>
      </c>
      <c r="T34" s="36">
        <f t="shared" si="7"/>
        <v>1.4345922656518893E-3</v>
      </c>
      <c r="U34" s="36">
        <f t="shared" si="8"/>
        <v>9.4569832248894287E-3</v>
      </c>
      <c r="V34" s="36"/>
      <c r="W34" s="39">
        <f t="shared" si="10"/>
        <v>1.7160537070813667E-2</v>
      </c>
      <c r="Y34" s="37">
        <f t="shared" si="9"/>
        <v>8</v>
      </c>
      <c r="AA34" cm="1">
        <f t="array" ref="AA34">SUM(--(COUNTIFS(E34:L34, E34:L34) &gt; 1))</f>
        <v>2</v>
      </c>
      <c r="AB34">
        <v>1</v>
      </c>
      <c r="AC34">
        <v>0</v>
      </c>
      <c r="AF34">
        <v>32</v>
      </c>
      <c r="AG34" t="s">
        <v>28</v>
      </c>
      <c r="AH34">
        <v>9000</v>
      </c>
      <c r="AI34">
        <v>7.8981398361713927E-3</v>
      </c>
    </row>
    <row r="35" spans="1:35" ht="16" x14ac:dyDescent="0.2">
      <c r="A35" s="5">
        <v>34</v>
      </c>
      <c r="B35" s="6" t="s">
        <v>162</v>
      </c>
      <c r="C35" s="6" t="s">
        <v>156</v>
      </c>
      <c r="D35" s="6" t="s">
        <v>99</v>
      </c>
      <c r="E35" s="6" t="s">
        <v>69</v>
      </c>
      <c r="F35" s="6" t="s">
        <v>75</v>
      </c>
      <c r="G35" s="6" t="s">
        <v>50</v>
      </c>
      <c r="H35" s="6" t="s">
        <v>27</v>
      </c>
      <c r="I35" s="6" t="s">
        <v>22</v>
      </c>
      <c r="J35" s="6" t="s">
        <v>32</v>
      </c>
      <c r="K35" s="6" t="s">
        <v>28</v>
      </c>
      <c r="L35" s="6" t="s">
        <v>168</v>
      </c>
      <c r="N35" s="36">
        <f t="shared" si="1"/>
        <v>4.7915381672773108E-2</v>
      </c>
      <c r="O35" s="36">
        <f t="shared" si="2"/>
        <v>1.2834477233778511E-2</v>
      </c>
      <c r="P35" s="36">
        <f t="shared" si="3"/>
        <v>8.8732188282913162E-3</v>
      </c>
      <c r="Q35" s="36">
        <f t="shared" si="4"/>
        <v>3.7827932899557715E-2</v>
      </c>
      <c r="R35" s="36">
        <f t="shared" si="5"/>
        <v>9.4569832248894287E-3</v>
      </c>
      <c r="S35" s="36">
        <f t="shared" si="6"/>
        <v>1.9964742363655461E-2</v>
      </c>
      <c r="T35" s="36">
        <f t="shared" si="7"/>
        <v>7.8981398361713927E-3</v>
      </c>
      <c r="U35" s="36">
        <f t="shared" si="8"/>
        <v>4.7598061264344151E-3</v>
      </c>
      <c r="V35" s="36"/>
      <c r="W35" s="39">
        <f t="shared" si="10"/>
        <v>1.5804284449732874E-2</v>
      </c>
      <c r="Y35" s="37">
        <f t="shared" si="9"/>
        <v>8</v>
      </c>
      <c r="AA35" cm="1">
        <f t="array" ref="AA35">SUM(--(COUNTIFS(E35:L35, E35:L35) &gt; 1))</f>
        <v>0</v>
      </c>
      <c r="AB35">
        <v>0</v>
      </c>
      <c r="AC35">
        <v>0</v>
      </c>
      <c r="AF35">
        <v>33</v>
      </c>
      <c r="AG35" t="s">
        <v>16</v>
      </c>
      <c r="AH35">
        <v>11000</v>
      </c>
      <c r="AI35">
        <v>6.4750515774017713E-3</v>
      </c>
    </row>
    <row r="36" spans="1:35" ht="16" x14ac:dyDescent="0.2">
      <c r="A36" s="3">
        <v>35</v>
      </c>
      <c r="B36" s="4" t="s">
        <v>163</v>
      </c>
      <c r="C36" s="4" t="s">
        <v>72</v>
      </c>
      <c r="D36" s="4" t="s">
        <v>73</v>
      </c>
      <c r="E36" s="4" t="s">
        <v>14</v>
      </c>
      <c r="F36" s="4" t="s">
        <v>14</v>
      </c>
      <c r="G36" s="4" t="s">
        <v>34</v>
      </c>
      <c r="H36" s="4" t="s">
        <v>34</v>
      </c>
      <c r="I36" s="4" t="s">
        <v>75</v>
      </c>
      <c r="J36" s="4" t="s">
        <v>25</v>
      </c>
      <c r="K36" s="4" t="s">
        <v>26</v>
      </c>
      <c r="L36" s="4" t="s">
        <v>26</v>
      </c>
      <c r="N36" s="36">
        <f t="shared" si="1"/>
        <v>2.4783818106606782E-2</v>
      </c>
      <c r="O36" s="36">
        <f t="shared" si="2"/>
        <v>2.4783818106606782E-2</v>
      </c>
      <c r="P36" s="36">
        <f t="shared" si="3"/>
        <v>4.227827794656451E-2</v>
      </c>
      <c r="Q36" s="36">
        <f t="shared" si="4"/>
        <v>4.227827794656451E-2</v>
      </c>
      <c r="R36" s="36">
        <f t="shared" si="5"/>
        <v>1.2834477233778511E-2</v>
      </c>
      <c r="S36" s="36">
        <f t="shared" si="6"/>
        <v>2.8634690242693092E-3</v>
      </c>
      <c r="T36" s="36">
        <f t="shared" si="7"/>
        <v>0</v>
      </c>
      <c r="U36" s="36">
        <f t="shared" si="8"/>
        <v>0</v>
      </c>
      <c r="V36" s="36"/>
      <c r="W36" s="39">
        <f t="shared" si="10"/>
        <v>1.7608723365115604E-2</v>
      </c>
      <c r="Y36" s="37">
        <f t="shared" si="9"/>
        <v>6</v>
      </c>
      <c r="AA36" cm="1">
        <f t="array" ref="AA36">SUM(--(COUNTIFS(E36:L36, E36:L36) &gt; 1))</f>
        <v>6</v>
      </c>
      <c r="AB36">
        <v>2</v>
      </c>
      <c r="AC36">
        <v>0</v>
      </c>
      <c r="AF36">
        <v>34</v>
      </c>
      <c r="AG36" t="s">
        <v>211</v>
      </c>
      <c r="AH36">
        <v>11000</v>
      </c>
      <c r="AI36">
        <v>6.4750515774017713E-3</v>
      </c>
    </row>
    <row r="37" spans="1:35" ht="16" x14ac:dyDescent="0.2">
      <c r="A37" s="5">
        <v>36</v>
      </c>
      <c r="B37" s="6" t="s">
        <v>101</v>
      </c>
      <c r="C37" s="6" t="s">
        <v>102</v>
      </c>
      <c r="D37" s="6" t="s">
        <v>103</v>
      </c>
      <c r="E37" s="6" t="s">
        <v>43</v>
      </c>
      <c r="F37" s="6" t="s">
        <v>15</v>
      </c>
      <c r="G37" s="6" t="s">
        <v>166</v>
      </c>
      <c r="H37" s="6" t="s">
        <v>170</v>
      </c>
      <c r="I37" s="6" t="s">
        <v>26</v>
      </c>
      <c r="J37" s="6" t="s">
        <v>26</v>
      </c>
      <c r="K37" s="6" t="s">
        <v>26</v>
      </c>
      <c r="L37" s="6" t="s">
        <v>26</v>
      </c>
      <c r="N37" s="36">
        <f t="shared" si="1"/>
        <v>9.5830763345546216E-2</v>
      </c>
      <c r="O37" s="36">
        <f t="shared" si="2"/>
        <v>4.227827794656451E-2</v>
      </c>
      <c r="P37" s="36">
        <f t="shared" si="3"/>
        <v>6.4750515774017713E-3</v>
      </c>
      <c r="Q37" s="36">
        <f t="shared" si="4"/>
        <v>4.7598061264344151E-3</v>
      </c>
      <c r="R37" s="36">
        <f t="shared" si="5"/>
        <v>0</v>
      </c>
      <c r="S37" s="36">
        <f t="shared" si="6"/>
        <v>0</v>
      </c>
      <c r="T37" s="36">
        <f t="shared" si="7"/>
        <v>0</v>
      </c>
      <c r="U37" s="36">
        <f t="shared" si="8"/>
        <v>0</v>
      </c>
      <c r="V37" s="36"/>
      <c r="W37" s="39">
        <f t="shared" si="10"/>
        <v>3.4325375902414385E-2</v>
      </c>
      <c r="Y37" s="37">
        <f t="shared" si="9"/>
        <v>4</v>
      </c>
      <c r="AA37" cm="1">
        <f t="array" ref="AA37">SUM(--(COUNTIFS(E37:L37, E37:L37) &gt; 1))</f>
        <v>4</v>
      </c>
      <c r="AB37">
        <v>0</v>
      </c>
      <c r="AC37">
        <v>0</v>
      </c>
      <c r="AF37">
        <v>35</v>
      </c>
      <c r="AG37" t="s">
        <v>51</v>
      </c>
      <c r="AH37">
        <v>11000</v>
      </c>
      <c r="AI37">
        <v>6.4750515774017713E-3</v>
      </c>
    </row>
    <row r="38" spans="1:35" ht="16" x14ac:dyDescent="0.2">
      <c r="A38" s="3">
        <v>37</v>
      </c>
      <c r="B38" s="4" t="s">
        <v>160</v>
      </c>
      <c r="C38" s="4" t="s">
        <v>157</v>
      </c>
      <c r="D38" s="4" t="s">
        <v>158</v>
      </c>
      <c r="E38" s="4" t="s">
        <v>43</v>
      </c>
      <c r="F38" s="4" t="s">
        <v>58</v>
      </c>
      <c r="G38" s="4" t="s">
        <v>54</v>
      </c>
      <c r="H38" s="4" t="s">
        <v>22</v>
      </c>
      <c r="I38" s="4" t="s">
        <v>168</v>
      </c>
      <c r="J38" s="4" t="s">
        <v>26</v>
      </c>
      <c r="K38" s="4" t="s">
        <v>26</v>
      </c>
      <c r="L38" s="4" t="s">
        <v>26</v>
      </c>
      <c r="N38" s="36">
        <f t="shared" si="1"/>
        <v>9.5830763345546216E-2</v>
      </c>
      <c r="O38" s="36">
        <f t="shared" si="2"/>
        <v>1.9964742363655461E-2</v>
      </c>
      <c r="P38" s="36">
        <f t="shared" si="3"/>
        <v>1.9964742363655461E-2</v>
      </c>
      <c r="Q38" s="36">
        <f t="shared" si="4"/>
        <v>9.4569832248894287E-3</v>
      </c>
      <c r="R38" s="36">
        <f t="shared" si="5"/>
        <v>4.7598061264344151E-3</v>
      </c>
      <c r="S38" s="36">
        <f t="shared" si="6"/>
        <v>0</v>
      </c>
      <c r="T38" s="36">
        <f t="shared" si="7"/>
        <v>0</v>
      </c>
      <c r="U38" s="36">
        <f t="shared" si="8"/>
        <v>0</v>
      </c>
      <c r="V38" s="36"/>
      <c r="W38" s="39">
        <f t="shared" si="10"/>
        <v>3.2251618775418905E-2</v>
      </c>
      <c r="Y38" s="37">
        <f t="shared" si="9"/>
        <v>5</v>
      </c>
      <c r="AA38" cm="1">
        <f t="array" ref="AA38">SUM(--(COUNTIFS(E38:L38, E38:L38) &gt; 1))</f>
        <v>3</v>
      </c>
      <c r="AB38">
        <v>0</v>
      </c>
      <c r="AC38">
        <v>0</v>
      </c>
      <c r="AF38">
        <v>36</v>
      </c>
      <c r="AG38" t="s">
        <v>206</v>
      </c>
      <c r="AH38">
        <v>11000</v>
      </c>
      <c r="AI38">
        <v>6.4750515774017713E-3</v>
      </c>
    </row>
    <row r="39" spans="1:35" ht="16" x14ac:dyDescent="0.2">
      <c r="A39" s="5">
        <v>38</v>
      </c>
      <c r="B39" s="6" t="s">
        <v>17</v>
      </c>
      <c r="C39" s="6" t="s">
        <v>18</v>
      </c>
      <c r="D39" s="6" t="s">
        <v>19</v>
      </c>
      <c r="E39" s="6" t="s">
        <v>15</v>
      </c>
      <c r="F39" s="6" t="s">
        <v>15</v>
      </c>
      <c r="G39" s="6" t="s">
        <v>47</v>
      </c>
      <c r="H39" s="6" t="s">
        <v>75</v>
      </c>
      <c r="I39" s="6" t="s">
        <v>28</v>
      </c>
      <c r="J39" s="6" t="s">
        <v>168</v>
      </c>
      <c r="K39" s="6" t="s">
        <v>24</v>
      </c>
      <c r="L39" s="6" t="s">
        <v>177</v>
      </c>
      <c r="N39" s="36">
        <f t="shared" si="1"/>
        <v>4.227827794656451E-2</v>
      </c>
      <c r="O39" s="36">
        <f t="shared" si="2"/>
        <v>4.227827794656451E-2</v>
      </c>
      <c r="P39" s="36">
        <f t="shared" si="3"/>
        <v>3.422527262340936E-2</v>
      </c>
      <c r="Q39" s="36">
        <f t="shared" si="4"/>
        <v>1.2834477233778511E-2</v>
      </c>
      <c r="R39" s="36">
        <f t="shared" si="5"/>
        <v>7.8981398361713927E-3</v>
      </c>
      <c r="S39" s="36">
        <f t="shared" si="6"/>
        <v>4.7598061264344151E-3</v>
      </c>
      <c r="T39" s="36">
        <f t="shared" si="7"/>
        <v>4.2031036555064127E-3</v>
      </c>
      <c r="U39" s="36">
        <f t="shared" si="8"/>
        <v>1.4345922656518893E-3</v>
      </c>
      <c r="V39" s="36"/>
      <c r="W39" s="39">
        <f t="shared" si="10"/>
        <v>1.7754517177226953E-2</v>
      </c>
      <c r="Y39" s="37">
        <f t="shared" si="9"/>
        <v>8</v>
      </c>
      <c r="AA39" cm="1">
        <f t="array" ref="AA39">SUM(--(COUNTIFS(E39:L39, E39:L39) &gt; 1))</f>
        <v>2</v>
      </c>
      <c r="AB39">
        <v>1</v>
      </c>
      <c r="AC39">
        <v>0</v>
      </c>
      <c r="AF39">
        <v>37</v>
      </c>
      <c r="AG39" t="s">
        <v>166</v>
      </c>
      <c r="AH39">
        <v>11000</v>
      </c>
      <c r="AI39">
        <v>6.4750515774017713E-3</v>
      </c>
    </row>
    <row r="40" spans="1:35" ht="16" x14ac:dyDescent="0.2">
      <c r="A40" s="3">
        <v>39</v>
      </c>
      <c r="B40" s="4" t="s">
        <v>161</v>
      </c>
      <c r="C40" s="4" t="s">
        <v>70</v>
      </c>
      <c r="D40" s="4" t="s">
        <v>71</v>
      </c>
      <c r="E40" s="4" t="s">
        <v>34</v>
      </c>
      <c r="F40" s="4" t="s">
        <v>27</v>
      </c>
      <c r="G40" s="4" t="s">
        <v>176</v>
      </c>
      <c r="H40" s="4" t="s">
        <v>164</v>
      </c>
      <c r="I40" s="4" t="s">
        <v>75</v>
      </c>
      <c r="J40" s="4" t="s">
        <v>54</v>
      </c>
      <c r="K40" s="4" t="s">
        <v>55</v>
      </c>
      <c r="L40" s="4" t="s">
        <v>38</v>
      </c>
      <c r="N40" s="36">
        <f t="shared" si="1"/>
        <v>4.227827794656451E-2</v>
      </c>
      <c r="O40" s="36">
        <f t="shared" si="2"/>
        <v>3.7827932899557715E-2</v>
      </c>
      <c r="P40" s="36">
        <f t="shared" si="3"/>
        <v>2.0476658834518422E-3</v>
      </c>
      <c r="Q40" s="36">
        <f t="shared" si="4"/>
        <v>1.7530017685160895E-2</v>
      </c>
      <c r="R40" s="36">
        <f t="shared" si="5"/>
        <v>1.2834477233778511E-2</v>
      </c>
      <c r="S40" s="36">
        <f t="shared" si="6"/>
        <v>1.9964742363655461E-2</v>
      </c>
      <c r="T40" s="36">
        <f t="shared" si="7"/>
        <v>6.4750515774017713E-3</v>
      </c>
      <c r="U40" s="36">
        <f t="shared" si="8"/>
        <v>1.0889859471084798E-2</v>
      </c>
      <c r="V40" s="36"/>
      <c r="W40" s="39">
        <f t="shared" si="10"/>
        <v>1.4377194233089431E-2</v>
      </c>
      <c r="Y40" s="37">
        <f t="shared" si="9"/>
        <v>8</v>
      </c>
      <c r="AA40" cm="1">
        <f t="array" ref="AA40">SUM(--(COUNTIFS(E40:L40, E40:L40) &gt; 1))</f>
        <v>0</v>
      </c>
      <c r="AB40">
        <v>0</v>
      </c>
      <c r="AC40">
        <v>0</v>
      </c>
      <c r="AF40">
        <v>38</v>
      </c>
      <c r="AG40" t="s">
        <v>55</v>
      </c>
      <c r="AH40">
        <v>11000</v>
      </c>
      <c r="AI40">
        <v>6.4750515774017713E-3</v>
      </c>
    </row>
    <row r="41" spans="1:35" x14ac:dyDescent="0.2">
      <c r="AF41">
        <v>39</v>
      </c>
      <c r="AG41" t="s">
        <v>195</v>
      </c>
      <c r="AH41">
        <v>12000</v>
      </c>
      <c r="AI41">
        <v>5.9399233478644349E-3</v>
      </c>
    </row>
    <row r="42" spans="1:35" x14ac:dyDescent="0.2">
      <c r="X42" t="s">
        <v>265</v>
      </c>
      <c r="Y42" t="s">
        <v>266</v>
      </c>
      <c r="AB42" t="s">
        <v>263</v>
      </c>
      <c r="AC42" t="s">
        <v>264</v>
      </c>
      <c r="AF42">
        <v>40</v>
      </c>
      <c r="AG42" t="s">
        <v>61</v>
      </c>
      <c r="AH42">
        <v>12000</v>
      </c>
      <c r="AI42">
        <v>5.9399233478644349E-3</v>
      </c>
    </row>
    <row r="43" spans="1:35" x14ac:dyDescent="0.2">
      <c r="X43">
        <v>8</v>
      </c>
      <c r="Y43" s="38">
        <f>+COUNTIF(Y$2:Y$40,"=8")</f>
        <v>18</v>
      </c>
      <c r="AA43">
        <v>0</v>
      </c>
      <c r="AB43">
        <f>+COUNTIF(AB$2:AB$40,"=0")</f>
        <v>19</v>
      </c>
      <c r="AC43">
        <f>+COUNTIF(AC$2:AC$40,"=0")</f>
        <v>32</v>
      </c>
      <c r="AF43">
        <v>41</v>
      </c>
      <c r="AG43" t="s">
        <v>167</v>
      </c>
      <c r="AH43">
        <v>12000</v>
      </c>
      <c r="AI43">
        <v>5.9399233478644349E-3</v>
      </c>
    </row>
    <row r="44" spans="1:35" x14ac:dyDescent="0.2">
      <c r="X44">
        <v>7</v>
      </c>
      <c r="Y44" s="38">
        <f>+COUNTIF(Y$2:Y$40,"=7")</f>
        <v>3</v>
      </c>
      <c r="AA44">
        <v>1</v>
      </c>
      <c r="AB44">
        <f>+COUNTIF(AB$2:AB$40,"=1")</f>
        <v>11</v>
      </c>
      <c r="AC44">
        <f>+COUNTIF(AC$2:AC$40,"=1")</f>
        <v>5</v>
      </c>
      <c r="AF44">
        <v>42</v>
      </c>
      <c r="AG44" t="s">
        <v>214</v>
      </c>
      <c r="AH44">
        <v>12000</v>
      </c>
      <c r="AI44">
        <v>5.9399233478644349E-3</v>
      </c>
    </row>
    <row r="45" spans="1:35" x14ac:dyDescent="0.2">
      <c r="X45">
        <v>6</v>
      </c>
      <c r="Y45" s="38">
        <f>+COUNTIF(Y$2:Y$40,"=6")</f>
        <v>10</v>
      </c>
      <c r="AA45">
        <v>2</v>
      </c>
      <c r="AB45">
        <f>+COUNTIF(AB$2:AB$40,"=2")</f>
        <v>4</v>
      </c>
      <c r="AC45">
        <f>+COUNTIF(AC$2:AC$40,"=2")</f>
        <v>2</v>
      </c>
      <c r="AF45">
        <v>43</v>
      </c>
      <c r="AG45" t="s">
        <v>197</v>
      </c>
      <c r="AH45">
        <v>12000</v>
      </c>
      <c r="AI45">
        <v>5.9399233478644349E-3</v>
      </c>
    </row>
    <row r="46" spans="1:35" x14ac:dyDescent="0.2">
      <c r="X46">
        <v>5</v>
      </c>
      <c r="Y46" s="38">
        <f>+COUNTIF(Y$2:Y$40,"=5")</f>
        <v>6</v>
      </c>
      <c r="AA46">
        <v>3</v>
      </c>
      <c r="AB46">
        <f>+COUNTIF(AB$2:AB$40,"=3")</f>
        <v>4</v>
      </c>
      <c r="AC46">
        <f>+COUNTIF(AC$2:AC$40,"=3")</f>
        <v>0</v>
      </c>
      <c r="AF46">
        <v>44</v>
      </c>
      <c r="AG46" t="s">
        <v>64</v>
      </c>
      <c r="AH46">
        <v>12000</v>
      </c>
      <c r="AI46">
        <v>5.9399233478644349E-3</v>
      </c>
    </row>
    <row r="47" spans="1:35" x14ac:dyDescent="0.2">
      <c r="X47">
        <v>4</v>
      </c>
      <c r="Y47" s="38">
        <f>+COUNTIF(Y$2:Y$40,"=4")</f>
        <v>2</v>
      </c>
      <c r="AA47">
        <v>4</v>
      </c>
      <c r="AB47">
        <f>+COUNTIF(AB$2:AB$40,"=4")</f>
        <v>1</v>
      </c>
      <c r="AC47">
        <f>+COUNTIF(AC$2:AC$40,"=4")</f>
        <v>0</v>
      </c>
      <c r="AF47">
        <v>45</v>
      </c>
      <c r="AG47" t="s">
        <v>168</v>
      </c>
      <c r="AH47">
        <v>15000</v>
      </c>
      <c r="AI47">
        <v>4.7598061264344151E-3</v>
      </c>
    </row>
    <row r="48" spans="1:35" x14ac:dyDescent="0.2">
      <c r="AF48">
        <v>46</v>
      </c>
      <c r="AG48" t="s">
        <v>231</v>
      </c>
      <c r="AH48">
        <v>15000</v>
      </c>
      <c r="AI48">
        <v>4.7598061264344151E-3</v>
      </c>
    </row>
    <row r="49" spans="32:35" x14ac:dyDescent="0.2">
      <c r="AF49">
        <v>47</v>
      </c>
      <c r="AG49" t="s">
        <v>169</v>
      </c>
      <c r="AH49">
        <v>15000</v>
      </c>
      <c r="AI49">
        <v>4.7598061264344151E-3</v>
      </c>
    </row>
    <row r="50" spans="32:35" x14ac:dyDescent="0.2">
      <c r="AF50">
        <v>48</v>
      </c>
      <c r="AG50" t="s">
        <v>193</v>
      </c>
      <c r="AH50">
        <v>15000</v>
      </c>
      <c r="AI50">
        <v>4.7598061264344151E-3</v>
      </c>
    </row>
    <row r="51" spans="32:35" x14ac:dyDescent="0.2">
      <c r="AF51">
        <v>49</v>
      </c>
      <c r="AG51" t="s">
        <v>194</v>
      </c>
      <c r="AH51">
        <v>15000</v>
      </c>
      <c r="AI51">
        <v>4.7598061264344151E-3</v>
      </c>
    </row>
    <row r="52" spans="32:35" x14ac:dyDescent="0.2">
      <c r="AF52">
        <v>50</v>
      </c>
      <c r="AG52" t="s">
        <v>170</v>
      </c>
      <c r="AH52">
        <v>15000</v>
      </c>
      <c r="AI52">
        <v>4.7598061264344151E-3</v>
      </c>
    </row>
    <row r="53" spans="32:35" x14ac:dyDescent="0.2">
      <c r="AF53">
        <v>51</v>
      </c>
      <c r="AG53" t="s">
        <v>171</v>
      </c>
      <c r="AH53">
        <v>17000</v>
      </c>
      <c r="AI53">
        <v>4.2031036555064127E-3</v>
      </c>
    </row>
    <row r="54" spans="32:35" x14ac:dyDescent="0.2">
      <c r="AF54">
        <v>52</v>
      </c>
      <c r="AG54" t="s">
        <v>232</v>
      </c>
      <c r="AH54">
        <v>17000</v>
      </c>
      <c r="AI54">
        <v>4.2031036555064127E-3</v>
      </c>
    </row>
    <row r="55" spans="32:35" x14ac:dyDescent="0.2">
      <c r="AF55">
        <v>53</v>
      </c>
      <c r="AG55" t="s">
        <v>196</v>
      </c>
      <c r="AH55">
        <v>17000</v>
      </c>
      <c r="AI55">
        <v>4.2031036555064127E-3</v>
      </c>
    </row>
    <row r="56" spans="32:35" x14ac:dyDescent="0.2">
      <c r="AF56">
        <v>54</v>
      </c>
      <c r="AG56" t="s">
        <v>24</v>
      </c>
      <c r="AH56">
        <v>17000</v>
      </c>
      <c r="AI56">
        <v>4.2031036555064127E-3</v>
      </c>
    </row>
    <row r="57" spans="32:35" x14ac:dyDescent="0.2">
      <c r="AF57">
        <v>55</v>
      </c>
      <c r="AG57" t="s">
        <v>172</v>
      </c>
      <c r="AH57">
        <v>20000</v>
      </c>
      <c r="AI57">
        <v>3.5757747516994855E-3</v>
      </c>
    </row>
    <row r="58" spans="32:35" x14ac:dyDescent="0.2">
      <c r="AF58">
        <v>56</v>
      </c>
      <c r="AG58" t="s">
        <v>200</v>
      </c>
      <c r="AH58">
        <v>20000</v>
      </c>
      <c r="AI58">
        <v>3.5757747516994855E-3</v>
      </c>
    </row>
    <row r="59" spans="32:35" x14ac:dyDescent="0.2">
      <c r="AF59">
        <v>57</v>
      </c>
      <c r="AG59" t="s">
        <v>216</v>
      </c>
      <c r="AH59">
        <v>22000</v>
      </c>
      <c r="AI59">
        <v>3.2521752266588084E-3</v>
      </c>
    </row>
    <row r="60" spans="32:35" x14ac:dyDescent="0.2">
      <c r="AF60">
        <v>58</v>
      </c>
      <c r="AG60" t="s">
        <v>173</v>
      </c>
      <c r="AH60">
        <v>22000</v>
      </c>
      <c r="AI60">
        <v>3.2521752266588084E-3</v>
      </c>
    </row>
    <row r="61" spans="32:35" x14ac:dyDescent="0.2">
      <c r="AF61">
        <v>59</v>
      </c>
      <c r="AG61" t="s">
        <v>174</v>
      </c>
      <c r="AH61">
        <v>22000</v>
      </c>
      <c r="AI61">
        <v>3.2521752266588084E-3</v>
      </c>
    </row>
    <row r="62" spans="32:35" x14ac:dyDescent="0.2">
      <c r="AF62">
        <v>60</v>
      </c>
      <c r="AG62" t="s">
        <v>25</v>
      </c>
      <c r="AH62">
        <v>25000</v>
      </c>
      <c r="AI62">
        <v>2.8634690242693092E-3</v>
      </c>
    </row>
    <row r="63" spans="32:35" x14ac:dyDescent="0.2">
      <c r="AF63">
        <v>61</v>
      </c>
      <c r="AG63" t="s">
        <v>97</v>
      </c>
      <c r="AH63">
        <v>27000</v>
      </c>
      <c r="AI63">
        <v>2.6521428970169617E-3</v>
      </c>
    </row>
    <row r="64" spans="32:35" x14ac:dyDescent="0.2">
      <c r="AF64">
        <v>62</v>
      </c>
      <c r="AG64" t="s">
        <v>31</v>
      </c>
      <c r="AH64">
        <v>27000</v>
      </c>
      <c r="AI64">
        <v>2.6521428970169617E-3</v>
      </c>
    </row>
    <row r="65" spans="32:35" x14ac:dyDescent="0.2">
      <c r="AF65">
        <v>63</v>
      </c>
      <c r="AG65" t="s">
        <v>210</v>
      </c>
      <c r="AH65">
        <v>30000</v>
      </c>
      <c r="AI65">
        <v>2.3878097179122811E-3</v>
      </c>
    </row>
    <row r="66" spans="32:35" x14ac:dyDescent="0.2">
      <c r="AF66">
        <v>64</v>
      </c>
      <c r="AG66" t="s">
        <v>230</v>
      </c>
      <c r="AH66">
        <v>30000</v>
      </c>
      <c r="AI66">
        <v>2.3878097179122811E-3</v>
      </c>
    </row>
    <row r="67" spans="32:35" x14ac:dyDescent="0.2">
      <c r="AF67">
        <v>65</v>
      </c>
      <c r="AG67" t="s">
        <v>226</v>
      </c>
      <c r="AH67">
        <v>30000</v>
      </c>
      <c r="AI67">
        <v>2.3878097179122811E-3</v>
      </c>
    </row>
    <row r="68" spans="32:35" x14ac:dyDescent="0.2">
      <c r="AF68">
        <v>66</v>
      </c>
      <c r="AG68" t="s">
        <v>205</v>
      </c>
      <c r="AH68">
        <v>30000</v>
      </c>
      <c r="AI68">
        <v>2.3878097179122811E-3</v>
      </c>
    </row>
    <row r="69" spans="32:35" x14ac:dyDescent="0.2">
      <c r="AF69">
        <v>67</v>
      </c>
      <c r="AG69" t="s">
        <v>238</v>
      </c>
      <c r="AH69">
        <v>30000</v>
      </c>
      <c r="AI69">
        <v>2.3878097179122811E-3</v>
      </c>
    </row>
    <row r="70" spans="32:35" x14ac:dyDescent="0.2">
      <c r="AF70">
        <v>68</v>
      </c>
      <c r="AG70" t="s">
        <v>175</v>
      </c>
      <c r="AH70">
        <v>30000</v>
      </c>
      <c r="AI70">
        <v>2.3878097179122811E-3</v>
      </c>
    </row>
    <row r="71" spans="32:35" x14ac:dyDescent="0.2">
      <c r="AF71">
        <v>69</v>
      </c>
      <c r="AG71" t="s">
        <v>225</v>
      </c>
      <c r="AH71">
        <v>30000</v>
      </c>
      <c r="AI71">
        <v>2.3878097179122811E-3</v>
      </c>
    </row>
    <row r="72" spans="32:35" x14ac:dyDescent="0.2">
      <c r="AF72">
        <v>70</v>
      </c>
      <c r="AG72" t="s">
        <v>222</v>
      </c>
      <c r="AH72">
        <v>35000</v>
      </c>
      <c r="AI72">
        <v>2.0476658834518422E-3</v>
      </c>
    </row>
    <row r="73" spans="32:35" x14ac:dyDescent="0.2">
      <c r="AF73">
        <v>71</v>
      </c>
      <c r="AG73" t="s">
        <v>176</v>
      </c>
      <c r="AH73">
        <v>35000</v>
      </c>
      <c r="AI73">
        <v>2.0476658834518422E-3</v>
      </c>
    </row>
    <row r="74" spans="32:35" x14ac:dyDescent="0.2">
      <c r="AF74">
        <v>72</v>
      </c>
      <c r="AG74" t="s">
        <v>220</v>
      </c>
      <c r="AH74">
        <v>35000</v>
      </c>
      <c r="AI74">
        <v>2.0476658834518422E-3</v>
      </c>
    </row>
    <row r="75" spans="32:35" x14ac:dyDescent="0.2">
      <c r="AF75">
        <v>73</v>
      </c>
      <c r="AG75" t="s">
        <v>76</v>
      </c>
      <c r="AH75">
        <v>40000</v>
      </c>
      <c r="AI75">
        <v>1.7923459478593432E-3</v>
      </c>
    </row>
    <row r="76" spans="32:35" x14ac:dyDescent="0.2">
      <c r="AF76">
        <v>74</v>
      </c>
      <c r="AG76" t="s">
        <v>209</v>
      </c>
      <c r="AH76">
        <v>50000</v>
      </c>
      <c r="AI76">
        <v>1.4345922656518893E-3</v>
      </c>
    </row>
    <row r="77" spans="32:35" x14ac:dyDescent="0.2">
      <c r="AF77">
        <v>75</v>
      </c>
      <c r="AG77" t="s">
        <v>239</v>
      </c>
      <c r="AH77">
        <v>50000</v>
      </c>
      <c r="AI77">
        <v>1.4345922656518893E-3</v>
      </c>
    </row>
    <row r="78" spans="32:35" x14ac:dyDescent="0.2">
      <c r="AF78">
        <v>76</v>
      </c>
      <c r="AG78" t="s">
        <v>177</v>
      </c>
      <c r="AH78">
        <v>50000</v>
      </c>
      <c r="AI78">
        <v>1.4345922656518893E-3</v>
      </c>
    </row>
    <row r="79" spans="32:35" x14ac:dyDescent="0.2">
      <c r="AF79">
        <v>77</v>
      </c>
      <c r="AG79" t="s">
        <v>178</v>
      </c>
      <c r="AH79">
        <v>50000</v>
      </c>
      <c r="AI79">
        <v>1.4345922656518893E-3</v>
      </c>
    </row>
    <row r="80" spans="32:35" x14ac:dyDescent="0.2">
      <c r="AF80">
        <v>78</v>
      </c>
      <c r="AG80" t="s">
        <v>88</v>
      </c>
      <c r="AH80">
        <v>50000</v>
      </c>
      <c r="AI80">
        <v>1.4345922656518893E-3</v>
      </c>
    </row>
    <row r="81" spans="32:35" x14ac:dyDescent="0.2">
      <c r="AF81">
        <v>79</v>
      </c>
      <c r="AG81" t="s">
        <v>204</v>
      </c>
      <c r="AH81">
        <v>75000</v>
      </c>
      <c r="AI81">
        <v>9.5703159133368396E-4</v>
      </c>
    </row>
    <row r="82" spans="32:35" x14ac:dyDescent="0.2">
      <c r="AF82">
        <v>80</v>
      </c>
      <c r="AG82" t="s">
        <v>235</v>
      </c>
      <c r="AH82">
        <v>75000</v>
      </c>
      <c r="AI82">
        <v>9.5703159133368396E-4</v>
      </c>
    </row>
    <row r="83" spans="32:35" x14ac:dyDescent="0.2">
      <c r="AF83">
        <v>81</v>
      </c>
      <c r="AG83" t="s">
        <v>221</v>
      </c>
      <c r="AH83">
        <v>75000</v>
      </c>
      <c r="AI83">
        <v>9.5703159133368396E-4</v>
      </c>
    </row>
    <row r="84" spans="32:35" x14ac:dyDescent="0.2">
      <c r="AF84">
        <v>82</v>
      </c>
      <c r="AG84" t="s">
        <v>179</v>
      </c>
      <c r="AH84">
        <v>100000</v>
      </c>
      <c r="AI84">
        <v>7.1801271237921743E-4</v>
      </c>
    </row>
    <row r="85" spans="32:35" x14ac:dyDescent="0.2">
      <c r="AF85">
        <v>83</v>
      </c>
      <c r="AG85" t="s">
        <v>240</v>
      </c>
      <c r="AH85">
        <v>100000</v>
      </c>
      <c r="AI85">
        <v>7.1801271237921743E-4</v>
      </c>
    </row>
    <row r="86" spans="32:35" x14ac:dyDescent="0.2">
      <c r="AF86">
        <v>84</v>
      </c>
      <c r="AG86" t="s">
        <v>241</v>
      </c>
      <c r="AH86">
        <v>100000</v>
      </c>
      <c r="AI86">
        <v>7.1801271237921743E-4</v>
      </c>
    </row>
    <row r="87" spans="32:35" x14ac:dyDescent="0.2">
      <c r="AF87">
        <v>85</v>
      </c>
      <c r="AG87" t="s">
        <v>203</v>
      </c>
      <c r="AH87">
        <v>100000</v>
      </c>
      <c r="AI87">
        <v>7.1801271237921743E-4</v>
      </c>
    </row>
    <row r="88" spans="32:35" x14ac:dyDescent="0.2">
      <c r="AF88">
        <v>86</v>
      </c>
      <c r="AG88" t="s">
        <v>242</v>
      </c>
      <c r="AH88">
        <v>100000</v>
      </c>
      <c r="AI88">
        <v>7.1801271237921743E-4</v>
      </c>
    </row>
    <row r="89" spans="32:35" x14ac:dyDescent="0.2">
      <c r="AF89">
        <v>87</v>
      </c>
      <c r="AG89" t="s">
        <v>243</v>
      </c>
      <c r="AH89">
        <v>100000</v>
      </c>
      <c r="AI89">
        <v>7.1801271237921743E-4</v>
      </c>
    </row>
    <row r="90" spans="32:35" x14ac:dyDescent="0.2">
      <c r="AF90">
        <v>88</v>
      </c>
      <c r="AG90" t="s">
        <v>215</v>
      </c>
      <c r="AH90">
        <v>100000</v>
      </c>
      <c r="AI90">
        <v>7.1801271237921743E-4</v>
      </c>
    </row>
    <row r="91" spans="32:35" x14ac:dyDescent="0.2">
      <c r="AF91">
        <v>89</v>
      </c>
      <c r="AG91" t="s">
        <v>244</v>
      </c>
      <c r="AH91">
        <v>100000</v>
      </c>
      <c r="AI91">
        <v>7.1801271237921743E-4</v>
      </c>
    </row>
    <row r="92" spans="32:35" x14ac:dyDescent="0.2">
      <c r="AF92">
        <v>90</v>
      </c>
      <c r="AG92" t="s">
        <v>198</v>
      </c>
      <c r="AH92">
        <v>100000</v>
      </c>
      <c r="AI92">
        <v>7.1801271237921743E-4</v>
      </c>
    </row>
    <row r="93" spans="32:35" x14ac:dyDescent="0.2">
      <c r="AF93">
        <v>91</v>
      </c>
      <c r="AG93" t="s">
        <v>219</v>
      </c>
      <c r="AH93">
        <v>100000</v>
      </c>
      <c r="AI93">
        <v>7.1801271237921743E-4</v>
      </c>
    </row>
    <row r="94" spans="32:35" x14ac:dyDescent="0.2">
      <c r="AF94">
        <v>92</v>
      </c>
      <c r="AG94" t="s">
        <v>233</v>
      </c>
      <c r="AH94">
        <v>100000</v>
      </c>
      <c r="AI94">
        <v>7.1801271237921743E-4</v>
      </c>
    </row>
    <row r="95" spans="32:35" x14ac:dyDescent="0.2">
      <c r="AF95">
        <v>93</v>
      </c>
      <c r="AG95" t="s">
        <v>245</v>
      </c>
      <c r="AH95">
        <v>100000</v>
      </c>
      <c r="AI95">
        <v>7.1801271237921743E-4</v>
      </c>
    </row>
    <row r="96" spans="32:35" x14ac:dyDescent="0.2">
      <c r="AF96">
        <v>94</v>
      </c>
      <c r="AG96" t="s">
        <v>246</v>
      </c>
      <c r="AH96">
        <v>100000</v>
      </c>
      <c r="AI96">
        <v>7.1801271237921743E-4</v>
      </c>
    </row>
    <row r="97" spans="32:35" x14ac:dyDescent="0.2">
      <c r="AF97">
        <v>95</v>
      </c>
      <c r="AG97" t="s">
        <v>180</v>
      </c>
      <c r="AH97">
        <v>100000</v>
      </c>
      <c r="AI97">
        <v>7.1801271237921743E-4</v>
      </c>
    </row>
    <row r="98" spans="32:35" x14ac:dyDescent="0.2">
      <c r="AF98">
        <v>0</v>
      </c>
      <c r="AG98" t="s">
        <v>26</v>
      </c>
      <c r="AH98">
        <v>100000</v>
      </c>
      <c r="AI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Rosters (FINAL)</vt:lpstr>
      <vt:lpstr>Round 1 Scores</vt:lpstr>
      <vt:lpstr>Round 2 Scores</vt:lpstr>
      <vt:lpstr>Round 3 Scores</vt:lpstr>
      <vt:lpstr>Round 4 Scores</vt:lpstr>
      <vt:lpstr>scoring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Schreiber, Jonathan</dc:creator>
  <cp:lastModifiedBy>Rob Schoen</cp:lastModifiedBy>
  <dcterms:created xsi:type="dcterms:W3CDTF">2024-04-11T02:27:49Z</dcterms:created>
  <dcterms:modified xsi:type="dcterms:W3CDTF">2025-04-13T23:56:09Z</dcterms:modified>
</cp:coreProperties>
</file>