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defaultThemeVersion="166925"/>
  <mc:AlternateContent xmlns:mc="http://schemas.openxmlformats.org/markup-compatibility/2006">
    <mc:Choice Requires="x15">
      <x15ac:absPath xmlns:x15ac="http://schemas.microsoft.com/office/spreadsheetml/2010/11/ac" url="C:\Users\pdrur\Downloads\"/>
    </mc:Choice>
  </mc:AlternateContent>
  <xr:revisionPtr revIDLastSave="0" documentId="8_{B10AF46C-47E8-42AF-8E00-C36848EB1D18}" xr6:coauthVersionLast="47" xr6:coauthVersionMax="47" xr10:uidLastSave="{00000000-0000-0000-0000-000000000000}"/>
  <bookViews>
    <workbookView xWindow="-120" yWindow="-120" windowWidth="29040" windowHeight="15720" xr2:uid="{00000000-000D-0000-FFFF-FFFF00000000}"/>
  </bookViews>
  <sheets>
    <sheet name="MASTERS" sheetId="4" r:id="rId1"/>
  </sheets>
  <definedNames>
    <definedName name="solver_adj" localSheetId="0" hidden="1">MASTERS!$E$8:$E$98</definedName>
    <definedName name="solver_cvg" localSheetId="0" hidden="1">0.0001</definedName>
    <definedName name="solver_drv" localSheetId="0" hidden="1">1</definedName>
    <definedName name="solver_eng" localSheetId="0" hidden="1">1</definedName>
    <definedName name="solver_itr" localSheetId="0" hidden="1">2147483647</definedName>
    <definedName name="solver_lhs1" localSheetId="0" hidden="1">MASTERS!$E$5</definedName>
    <definedName name="solver_lhs2" localSheetId="0" hidden="1">MASTERS!$G$5</definedName>
    <definedName name="solver_lin" localSheetId="0" hidden="1">2</definedName>
    <definedName name="solver_mip" localSheetId="0" hidden="1">2147483647</definedName>
    <definedName name="solver_mni" localSheetId="0" hidden="1">30</definedName>
    <definedName name="solver_mrt" localSheetId="0" hidden="1">0.075</definedName>
    <definedName name="solver_msl" localSheetId="0" hidden="1">2</definedName>
    <definedName name="solver_neg" localSheetId="0" hidden="1">1</definedName>
    <definedName name="solver_nod" localSheetId="0" hidden="1">2147483647</definedName>
    <definedName name="solver_num" localSheetId="0" hidden="1">0</definedName>
    <definedName name="solver_opt" localSheetId="0" hidden="1">MASTERS!$F$5</definedName>
    <definedName name="solver_pre" localSheetId="0" hidden="1">0.000001</definedName>
    <definedName name="solver_rbv" localSheetId="0" hidden="1">1</definedName>
    <definedName name="solver_rel1" localSheetId="0" hidden="1">1</definedName>
    <definedName name="solver_rel2" localSheetId="0" hidden="1">1</definedName>
    <definedName name="solver_rhs1" localSheetId="0" hidden="1">8</definedName>
    <definedName name="solver_rhs2" localSheetId="0" hidden="1">0.15</definedName>
    <definedName name="solver_rlx" localSheetId="0" hidden="1">1</definedName>
    <definedName name="solver_rsd" localSheetId="0" hidden="1">0</definedName>
    <definedName name="solver_scl" localSheetId="0" hidden="1">2</definedName>
    <definedName name="solver_sho" localSheetId="0" hidden="1">2</definedName>
    <definedName name="solver_ssz" localSheetId="0" hidden="1">100</definedName>
    <definedName name="solver_tim" localSheetId="0" hidden="1">2147483647</definedName>
    <definedName name="solver_tol" localSheetId="0" hidden="1">0.01</definedName>
    <definedName name="solver_typ" localSheetId="0" hidden="1">1</definedName>
    <definedName name="solver_val" localSheetId="0" hidden="1">0</definedName>
    <definedName name="solver_ver" localSheetId="0" hidden="1">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7" i="4" l="1"/>
  <c r="D14" i="4"/>
  <c r="C14" i="4"/>
  <c r="D13" i="4"/>
  <c r="C13" i="4"/>
  <c r="D12" i="4"/>
  <c r="C12" i="4"/>
  <c r="D11" i="4"/>
  <c r="C11" i="4"/>
  <c r="D10" i="4"/>
  <c r="C10" i="4"/>
  <c r="D9" i="4"/>
  <c r="C9" i="4"/>
  <c r="D8" i="4"/>
  <c r="C8" i="4"/>
  <c r="D7" i="4"/>
  <c r="D16" i="4" l="1"/>
</calcChain>
</file>

<file path=xl/sharedStrings.xml><?xml version="1.0" encoding="utf-8"?>
<sst xmlns="http://schemas.openxmlformats.org/spreadsheetml/2006/main" count="102" uniqueCount="100">
  <si>
    <t>Dustin Johnson</t>
  </si>
  <si>
    <t>Rory McIlroy</t>
  </si>
  <si>
    <t>Jason Day</t>
  </si>
  <si>
    <t>Hideki Matsuyama</t>
  </si>
  <si>
    <t>Jordan Spieth</t>
  </si>
  <si>
    <t>Adam Scott</t>
  </si>
  <si>
    <t>Justin Thomas</t>
  </si>
  <si>
    <t>Sergio Garcia</t>
  </si>
  <si>
    <t>Patrick Reed</t>
  </si>
  <si>
    <t>Justin Rose</t>
  </si>
  <si>
    <t>Jon Rahm</t>
  </si>
  <si>
    <t>Danny Willett</t>
  </si>
  <si>
    <t>Bubba Watson</t>
  </si>
  <si>
    <t>Charl Schwartzel</t>
  </si>
  <si>
    <t>Tommy Fleetwood</t>
  </si>
  <si>
    <t>Zach Johnson</t>
  </si>
  <si>
    <t>Total</t>
  </si>
  <si>
    <t>probability</t>
  </si>
  <si>
    <t>odds</t>
  </si>
  <si>
    <t>normalized</t>
  </si>
  <si>
    <t>No Player</t>
  </si>
  <si>
    <t>Golfer</t>
  </si>
  <si>
    <t>Code</t>
  </si>
  <si>
    <t xml:space="preserve">TEAM NAME: </t>
  </si>
  <si>
    <t>Bryson DeChambeau</t>
  </si>
  <si>
    <t>Xander Schauffele</t>
  </si>
  <si>
    <t>Brian Harman</t>
  </si>
  <si>
    <t>Tyrrell Hatton</t>
  </si>
  <si>
    <t>Russell Henley</t>
  </si>
  <si>
    <t>Patrick Cantlay</t>
  </si>
  <si>
    <t>Cameron Smith</t>
  </si>
  <si>
    <t>Fred Couples</t>
  </si>
  <si>
    <t>Brooks Koepka</t>
  </si>
  <si>
    <t>Keegan Bradley</t>
  </si>
  <si>
    <t>Shane Lowry</t>
  </si>
  <si>
    <t>Scottie Scheffler</t>
  </si>
  <si>
    <t>Collin Morikawa</t>
  </si>
  <si>
    <t>Cameron Young</t>
  </si>
  <si>
    <t>Max Homa</t>
  </si>
  <si>
    <t>Viktor Hovland</t>
  </si>
  <si>
    <t>Sam Burns</t>
  </si>
  <si>
    <t>Corey Conners</t>
  </si>
  <si>
    <t>Min Woo Lee</t>
  </si>
  <si>
    <t>Harris English</t>
  </si>
  <si>
    <t>Sepp Straka</t>
  </si>
  <si>
    <t>Mike Weir</t>
  </si>
  <si>
    <t>Ludvig Aberg</t>
  </si>
  <si>
    <t>Wyndham Clark</t>
  </si>
  <si>
    <t>Akshay Bhatia</t>
  </si>
  <si>
    <t>Nick Taylor</t>
  </si>
  <si>
    <t>Robert MacIntyre</t>
  </si>
  <si>
    <t>Daniel Berger</t>
  </si>
  <si>
    <t>Matt Fitzpatrick</t>
  </si>
  <si>
    <t>Aaron Rai</t>
  </si>
  <si>
    <t>Maverick McNealy</t>
  </si>
  <si>
    <t>Michael Kim</t>
  </si>
  <si>
    <t>Max Greyserman</t>
  </si>
  <si>
    <t>Davis Riley</t>
  </si>
  <si>
    <t>Brian Campbell</t>
  </si>
  <si>
    <t>Angel Cabrera</t>
  </si>
  <si>
    <t>Chris Gotterup</t>
  </si>
  <si>
    <t>Si Woo Kim</t>
  </si>
  <si>
    <t>Jake Knapp</t>
  </si>
  <si>
    <t>Nicolai Hojgaard</t>
  </si>
  <si>
    <t>Kurt Kitayama</t>
  </si>
  <si>
    <t>J.J. Spaun</t>
  </si>
  <si>
    <t>Jacob Bridgeman</t>
  </si>
  <si>
    <t>Gary Woodland</t>
  </si>
  <si>
    <t>Ben Griffin</t>
  </si>
  <si>
    <t>Sung-Jae Im</t>
  </si>
  <si>
    <t>Rasmus Hojgaard</t>
  </si>
  <si>
    <t>Harry Hall</t>
  </si>
  <si>
    <t>Marco Penge</t>
  </si>
  <si>
    <t>Alex Noren</t>
  </si>
  <si>
    <t>Ryan Gerard</t>
  </si>
  <si>
    <t>Sam Stevens</t>
  </si>
  <si>
    <t>Ryan Fox</t>
  </si>
  <si>
    <t>Casey Jarvis</t>
  </si>
  <si>
    <t>Carlos Ortiz</t>
  </si>
  <si>
    <t>Haotong Li</t>
  </si>
  <si>
    <t>Tom McKibbin</t>
  </si>
  <si>
    <t>Nico Echavarria</t>
  </si>
  <si>
    <t>Kristoffer Reitan</t>
  </si>
  <si>
    <t>Rasmus Neergaard-Petersen</t>
  </si>
  <si>
    <t>John Keefer</t>
  </si>
  <si>
    <t>Andrew Novak</t>
  </si>
  <si>
    <t>Aldrich Potgieter</t>
  </si>
  <si>
    <t>Michael Brennan</t>
  </si>
  <si>
    <t>Sami Valimaki</t>
  </si>
  <si>
    <t>Ethan Fang</t>
  </si>
  <si>
    <t>Pongsapak Laopakdee</t>
  </si>
  <si>
    <t>Vijay Singh</t>
  </si>
  <si>
    <t>Mason Howell</t>
  </si>
  <si>
    <t>Mateo Pulcini</t>
  </si>
  <si>
    <t>Jackson Herrington</t>
  </si>
  <si>
    <t>Naoyuki Kataoka</t>
  </si>
  <si>
    <t>Brandon Holtz</t>
  </si>
  <si>
    <t>Jose Maria Olazabal</t>
  </si>
  <si>
    <t>Matt McCarty</t>
  </si>
  <si>
    <t>Tax (free) Man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</si>
</sst>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1"/>
      <color theme="1"/>
      <name val="Calibri"/>
      <family val="2"/>
      <scheme val="minor"/>
    </font>
    <font>
      <sz val="12"/>
      <color theme="1"/>
      <name val="Daytona"/>
    </font>
    <font>
      <u/>
      <sz val="12"/>
      <color theme="1"/>
      <name val="Daytona"/>
    </font>
    <font>
      <sz val="12"/>
      <color rgb="FF000000"/>
      <name val="Daytona"/>
    </font>
  </fonts>
  <fills count="4">
    <fill>
      <patternFill patternType="none"/>
    </fill>
    <fill>
      <patternFill patternType="gray125"/>
    </fill>
    <fill>
      <patternFill patternType="solid">
        <fgColor theme="8" tint="0.59999389629810485"/>
        <bgColor indexed="64"/>
      </patternFill>
    </fill>
    <fill>
      <patternFill patternType="solid">
        <fgColor theme="4" tint="0.79998168889431442"/>
        <bgColor indexed="64"/>
      </patternFill>
    </fill>
  </fills>
  <borders count="3">
    <border>
      <left/>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s>
  <cellStyleXfs count="2">
    <xf numFmtId="0" fontId="0" fillId="0" borderId="0"/>
    <xf numFmtId="9" fontId="1" fillId="0" borderId="0" applyFont="0" applyFill="0" applyBorder="0" applyAlignment="0" applyProtection="0"/>
  </cellStyleXfs>
  <cellXfs count="21">
    <xf numFmtId="0" fontId="0" fillId="0" borderId="0" xfId="0"/>
    <xf numFmtId="10" fontId="0" fillId="0" borderId="0" xfId="1" applyNumberFormat="1" applyFont="1"/>
    <xf numFmtId="0" fontId="2" fillId="0" borderId="0" xfId="0" applyFont="1"/>
    <xf numFmtId="0" fontId="3" fillId="3" borderId="0" xfId="0" applyFont="1" applyFill="1" applyAlignment="1">
      <alignment horizontal="center"/>
    </xf>
    <xf numFmtId="0" fontId="3" fillId="3" borderId="0" xfId="0" applyFont="1" applyFill="1"/>
    <xf numFmtId="2" fontId="3" fillId="3" borderId="0" xfId="0" applyNumberFormat="1" applyFont="1" applyFill="1" applyAlignment="1">
      <alignment horizontal="right"/>
    </xf>
    <xf numFmtId="0" fontId="3" fillId="3" borderId="0" xfId="0" applyFont="1" applyFill="1" applyAlignment="1">
      <alignment horizontal="right"/>
    </xf>
    <xf numFmtId="0" fontId="2" fillId="3" borderId="0" xfId="0" applyFont="1" applyFill="1" applyAlignment="1">
      <alignment horizontal="center"/>
    </xf>
    <xf numFmtId="0" fontId="4" fillId="3" borderId="0" xfId="0" applyFont="1" applyFill="1" applyAlignment="1">
      <alignment vertical="center" wrapText="1"/>
    </xf>
    <xf numFmtId="1" fontId="4" fillId="3" borderId="0" xfId="0" quotePrefix="1" applyNumberFormat="1" applyFont="1" applyFill="1" applyAlignment="1">
      <alignment horizontal="right" vertical="center" wrapText="1"/>
    </xf>
    <xf numFmtId="10" fontId="2" fillId="3" borderId="0" xfId="1" applyNumberFormat="1" applyFont="1" applyFill="1"/>
    <xf numFmtId="0" fontId="2" fillId="0" borderId="0" xfId="0" applyFont="1" applyAlignment="1">
      <alignment horizontal="center"/>
    </xf>
    <xf numFmtId="0" fontId="2" fillId="0" borderId="0" xfId="0" applyFont="1" applyAlignment="1">
      <alignment horizontal="right"/>
    </xf>
    <xf numFmtId="1" fontId="2" fillId="2" borderId="0" xfId="1" applyNumberFormat="1" applyFont="1" applyFill="1" applyAlignment="1">
      <alignment horizontal="center"/>
    </xf>
    <xf numFmtId="10" fontId="2" fillId="0" borderId="0" xfId="1" applyNumberFormat="1" applyFont="1" applyAlignment="1">
      <alignment horizontal="right"/>
    </xf>
    <xf numFmtId="10" fontId="2" fillId="0" borderId="0" xfId="0" applyNumberFormat="1" applyFont="1"/>
    <xf numFmtId="0" fontId="2" fillId="0" borderId="0" xfId="0" quotePrefix="1" applyFont="1" applyAlignment="1">
      <alignment horizontal="right"/>
    </xf>
    <xf numFmtId="0" fontId="2" fillId="3" borderId="0" xfId="0" applyFont="1" applyFill="1"/>
    <xf numFmtId="2" fontId="2" fillId="3" borderId="0" xfId="0" applyNumberFormat="1" applyFont="1" applyFill="1"/>
    <xf numFmtId="0" fontId="2" fillId="0" borderId="1" xfId="0" applyFont="1" applyBorder="1"/>
    <xf numFmtId="0" fontId="2" fillId="0" borderId="2" xfId="0" applyFont="1" applyBorder="1"/>
  </cellXfs>
  <cellStyles count="2">
    <cellStyle name="Normal" xfId="0" builtinId="0"/>
    <cellStyle name="Percent" xfId="1" builtinId="5"/>
  </cellStyles>
  <dxfs count="2">
    <dxf>
      <fill>
        <patternFill>
          <bgColor rgb="FF92D050"/>
        </patternFill>
      </fill>
    </dxf>
    <dxf>
      <font>
        <color rgb="FF9C0006"/>
      </font>
      <fill>
        <patternFill>
          <bgColor rgb="FFFFC7CE"/>
        </patternFill>
      </fill>
    </dxf>
  </dxfs>
  <tableStyles count="0" defaultTableStyle="TableStyleMedium2" defaultPivotStyle="PivotStyleLight16"/>
  <colors>
    <mruColors>
      <color rgb="FFFF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4</xdr:col>
      <xdr:colOff>209550</xdr:colOff>
      <xdr:row>4</xdr:row>
      <xdr:rowOff>127001</xdr:rowOff>
    </xdr:from>
    <xdr:to>
      <xdr:col>6</xdr:col>
      <xdr:colOff>203200</xdr:colOff>
      <xdr:row>11</xdr:row>
      <xdr:rowOff>142875</xdr:rowOff>
    </xdr:to>
    <xdr:sp macro="" textlink="">
      <xdr:nvSpPr>
        <xdr:cNvPr id="3" name="Rectangular Callout 2">
          <a:extLst>
            <a:ext uri="{FF2B5EF4-FFF2-40B4-BE49-F238E27FC236}">
              <a16:creationId xmlns:a16="http://schemas.microsoft.com/office/drawing/2014/main" id="{00000000-0008-0000-0000-000003000000}"/>
            </a:ext>
          </a:extLst>
        </xdr:cNvPr>
        <xdr:cNvSpPr/>
      </xdr:nvSpPr>
      <xdr:spPr>
        <a:xfrm>
          <a:off x="4311650" y="977901"/>
          <a:ext cx="1339850" cy="1527174"/>
        </a:xfrm>
        <a:prstGeom prst="wedgeRectCallout">
          <a:avLst>
            <a:gd name="adj1" fmla="val -74500"/>
            <a:gd name="adj2" fmla="val 101000"/>
          </a:avLst>
        </a:prstGeom>
        <a:solidFill>
          <a:schemeClr val="bg1">
            <a:lumMod val="85000"/>
          </a:schemeClr>
        </a:solidFill>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r>
            <a:rPr lang="en-US" sz="1200">
              <a:solidFill>
                <a:sysClr val="windowText" lastClr="000000"/>
              </a:solidFill>
            </a:rPr>
            <a:t>This number cannot exceed 15%. </a:t>
          </a:r>
          <a:br>
            <a:rPr lang="en-US" sz="1200">
              <a:solidFill>
                <a:sysClr val="windowText" lastClr="000000"/>
              </a:solidFill>
            </a:rPr>
          </a:br>
          <a:br>
            <a:rPr lang="en-US" sz="1200">
              <a:solidFill>
                <a:sysClr val="windowText" lastClr="000000"/>
              </a:solidFill>
            </a:rPr>
          </a:br>
          <a:r>
            <a:rPr lang="en-US" sz="1200">
              <a:solidFill>
                <a:sysClr val="windowText" lastClr="000000"/>
              </a:solidFill>
            </a:rPr>
            <a:t>Make sure the</a:t>
          </a:r>
          <a:r>
            <a:rPr lang="en-US" sz="1200" baseline="0">
              <a:solidFill>
                <a:sysClr val="windowText" lastClr="000000"/>
              </a:solidFill>
            </a:rPr>
            <a:t> cell is GREEN. If it RED, it is not legal</a:t>
          </a:r>
          <a:r>
            <a:rPr lang="en-US" sz="1000" baseline="0">
              <a:solidFill>
                <a:sysClr val="windowText" lastClr="000000"/>
              </a:solidFill>
            </a:rPr>
            <a:t>.</a:t>
          </a:r>
          <a:endParaRPr lang="en-US" sz="1000">
            <a:solidFill>
              <a:sysClr val="windowText" lastClr="000000"/>
            </a:solidFill>
          </a:endParaRPr>
        </a:p>
        <a:p>
          <a:pPr algn="l"/>
          <a:endParaRPr lang="en-US" sz="1100"/>
        </a:p>
      </xdr:txBody>
    </xdr:sp>
    <xdr:clientData/>
  </xdr:twoCellAnchor>
  <xdr:twoCellAnchor>
    <xdr:from>
      <xdr:col>0</xdr:col>
      <xdr:colOff>95250</xdr:colOff>
      <xdr:row>18</xdr:row>
      <xdr:rowOff>161924</xdr:rowOff>
    </xdr:from>
    <xdr:to>
      <xdr:col>6</xdr:col>
      <xdr:colOff>182880</xdr:colOff>
      <xdr:row>59</xdr:row>
      <xdr:rowOff>215900</xdr:rowOff>
    </xdr:to>
    <xdr:sp macro="" textlink="">
      <xdr:nvSpPr>
        <xdr:cNvPr id="5" name="TextBox 4">
          <a:extLst>
            <a:ext uri="{FF2B5EF4-FFF2-40B4-BE49-F238E27FC236}">
              <a16:creationId xmlns:a16="http://schemas.microsoft.com/office/drawing/2014/main" id="{00000000-0008-0000-0000-000005000000}"/>
            </a:ext>
          </a:extLst>
        </xdr:cNvPr>
        <xdr:cNvSpPr txBox="1"/>
      </xdr:nvSpPr>
      <xdr:spPr>
        <a:xfrm>
          <a:off x="95250" y="4746624"/>
          <a:ext cx="5535930" cy="1046797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i="0" u="sng">
              <a:solidFill>
                <a:schemeClr val="dk1"/>
              </a:solidFill>
              <a:effectLst/>
              <a:latin typeface="Daytona" panose="020B0604030500040204" pitchFamily="34" charset="0"/>
              <a:ea typeface="+mn-ea"/>
              <a:cs typeface="+mn-cs"/>
            </a:rPr>
            <a:t>Rules (please read closely)</a:t>
          </a:r>
          <a:endParaRPr lang="en-US" sz="1100" b="1" i="0">
            <a:solidFill>
              <a:schemeClr val="dk1"/>
            </a:solidFill>
            <a:effectLst/>
            <a:latin typeface="Daytona" panose="020B0604030500040204" pitchFamily="34" charset="0"/>
            <a:ea typeface="+mn-ea"/>
            <a:cs typeface="+mn-cs"/>
          </a:endParaRP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Pick a name for your team. Please don’t leave it to me to name your team. You won’t like it.</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Each team picks 3-8 golfers from the pool of golfers.</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You can pick the same golfer multiple times. </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Note that the pool of golfers is larger than the size of the Masters field. It's on you to make sure that everyone you pick is actually competing in the tournament.</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The sum of the golfer probabilities on a team </a:t>
          </a:r>
          <a:r>
            <a:rPr lang="en-US" sz="1100" b="1" i="0">
              <a:solidFill>
                <a:schemeClr val="dk1"/>
              </a:solidFill>
              <a:effectLst/>
              <a:latin typeface="Daytona" panose="020B0604030500040204" pitchFamily="34" charset="0"/>
              <a:ea typeface="+mn-ea"/>
              <a:cs typeface="+mn-cs"/>
            </a:rPr>
            <a:t>cannot exceed 15%</a:t>
          </a:r>
          <a:r>
            <a:rPr lang="en-US" sz="1100" b="0" i="0">
              <a:solidFill>
                <a:schemeClr val="dk1"/>
              </a:solidFill>
              <a:effectLst/>
              <a:latin typeface="Daytona" panose="020B0604030500040204" pitchFamily="34" charset="0"/>
              <a:ea typeface="+mn-ea"/>
              <a:cs typeface="+mn-cs"/>
            </a:rPr>
            <a:t>.</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Enter your team into the attached spreadsheet. When completed, make sure that cell D16 is GREEN. If it is RED, your entry is not legal (decimal points above the 15% limit).</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For each round, the team with the lowest combined score of any THREE golfers will win that round.</a:t>
          </a:r>
          <a:br>
            <a:rPr lang="en-US" sz="1100" b="0" i="0">
              <a:solidFill>
                <a:schemeClr val="dk1"/>
              </a:solidFill>
              <a:effectLst/>
              <a:latin typeface="Daytona" panose="020B0604030500040204" pitchFamily="34" charset="0"/>
              <a:ea typeface="+mn-ea"/>
              <a:cs typeface="+mn-cs"/>
            </a:rPr>
          </a:br>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The Final Score is won by the team with the lowest combined final score (4 round total) of any THREE golfers.</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All ties are broken by the 4th lowest score on each team. If there is still a tie, then the pot will be split. Any team without a 4th golfer will get the highest score in that round plus one as their 4th best score (i.e. you lose).</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Any golfers that do not golf in a given round (withdraw or missed cut) get the highest score in that round plus one. </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Playoff rounds do not count toward the 4th round or the final score. The pool ends after the 18th hole on the 4th round.</a:t>
          </a:r>
        </a:p>
        <a:p>
          <a:endParaRPr lang="en-US" sz="1100" b="0" i="0">
            <a:solidFill>
              <a:schemeClr val="dk1"/>
            </a:solidFill>
            <a:effectLst/>
            <a:latin typeface="Daytona" panose="020B0604030500040204" pitchFamily="34" charset="0"/>
            <a:ea typeface="+mn-ea"/>
            <a:cs typeface="+mn-cs"/>
          </a:endParaRPr>
        </a:p>
        <a:p>
          <a:r>
            <a:rPr lang="en-US" sz="1100" b="0" i="0">
              <a:solidFill>
                <a:schemeClr val="dk1"/>
              </a:solidFill>
              <a:effectLst/>
              <a:latin typeface="Daytona" panose="020B0604030500040204" pitchFamily="34" charset="0"/>
              <a:ea typeface="+mn-ea"/>
              <a:cs typeface="+mn-cs"/>
            </a:rPr>
            <a:t>Payouts</a:t>
          </a:r>
        </a:p>
        <a:p>
          <a:r>
            <a:rPr lang="en-US" sz="1100" b="0" i="0">
              <a:solidFill>
                <a:schemeClr val="dk1"/>
              </a:solidFill>
              <a:effectLst/>
              <a:latin typeface="Daytona" panose="020B0604030500040204" pitchFamily="34" charset="0"/>
              <a:ea typeface="+mn-ea"/>
              <a:cs typeface="+mn-cs"/>
            </a:rPr>
            <a:t>1st Round: 12.5% of pot</a:t>
          </a:r>
        </a:p>
        <a:p>
          <a:r>
            <a:rPr lang="en-US" sz="1100" b="0" i="0">
              <a:solidFill>
                <a:schemeClr val="dk1"/>
              </a:solidFill>
              <a:effectLst/>
              <a:latin typeface="Daytona" panose="020B0604030500040204" pitchFamily="34" charset="0"/>
              <a:ea typeface="+mn-ea"/>
              <a:cs typeface="+mn-cs"/>
            </a:rPr>
            <a:t>2nd Round:</a:t>
          </a:r>
          <a:r>
            <a:rPr lang="en-US" sz="1100" b="0" i="0" baseline="0">
              <a:solidFill>
                <a:schemeClr val="dk1"/>
              </a:solidFill>
              <a:effectLst/>
              <a:latin typeface="Daytona" panose="020B0604030500040204" pitchFamily="34" charset="0"/>
              <a:ea typeface="+mn-ea"/>
              <a:cs typeface="+mn-cs"/>
            </a:rPr>
            <a:t> </a:t>
          </a:r>
          <a:r>
            <a:rPr lang="en-US" sz="1100" b="0" i="0">
              <a:solidFill>
                <a:schemeClr val="dk1"/>
              </a:solidFill>
              <a:effectLst/>
              <a:latin typeface="Daytona" panose="020B0604030500040204" pitchFamily="34" charset="0"/>
              <a:ea typeface="+mn-ea"/>
              <a:cs typeface="+mn-cs"/>
            </a:rPr>
            <a:t>12.5% of pot</a:t>
          </a:r>
        </a:p>
        <a:p>
          <a:r>
            <a:rPr lang="en-US" sz="1100" b="0" i="0">
              <a:solidFill>
                <a:schemeClr val="dk1"/>
              </a:solidFill>
              <a:effectLst/>
              <a:latin typeface="Daytona" panose="020B0604030500040204" pitchFamily="34" charset="0"/>
              <a:ea typeface="+mn-ea"/>
              <a:cs typeface="+mn-cs"/>
            </a:rPr>
            <a:t>3rd Round:</a:t>
          </a:r>
          <a:r>
            <a:rPr lang="en-US" sz="1100" b="0" i="0" baseline="0">
              <a:solidFill>
                <a:schemeClr val="dk1"/>
              </a:solidFill>
              <a:effectLst/>
              <a:latin typeface="Daytona" panose="020B0604030500040204" pitchFamily="34" charset="0"/>
              <a:ea typeface="+mn-ea"/>
              <a:cs typeface="+mn-cs"/>
            </a:rPr>
            <a:t> </a:t>
          </a:r>
          <a:r>
            <a:rPr lang="en-US" sz="1100" b="0" i="0">
              <a:solidFill>
                <a:schemeClr val="dk1"/>
              </a:solidFill>
              <a:effectLst/>
              <a:latin typeface="Daytona" panose="020B0604030500040204" pitchFamily="34" charset="0"/>
              <a:ea typeface="+mn-ea"/>
              <a:cs typeface="+mn-cs"/>
            </a:rPr>
            <a:t>12.5% of pot</a:t>
          </a:r>
        </a:p>
        <a:p>
          <a:r>
            <a:rPr lang="en-US" sz="1100" b="0" i="0">
              <a:solidFill>
                <a:schemeClr val="dk1"/>
              </a:solidFill>
              <a:effectLst/>
              <a:latin typeface="Daytona" panose="020B0604030500040204" pitchFamily="34" charset="0"/>
              <a:ea typeface="+mn-ea"/>
              <a:cs typeface="+mn-cs"/>
            </a:rPr>
            <a:t>4th Round:</a:t>
          </a:r>
          <a:r>
            <a:rPr lang="en-US" sz="1100" b="0" i="0" baseline="0">
              <a:solidFill>
                <a:schemeClr val="dk1"/>
              </a:solidFill>
              <a:effectLst/>
              <a:latin typeface="Daytona" panose="020B0604030500040204" pitchFamily="34" charset="0"/>
              <a:ea typeface="+mn-ea"/>
              <a:cs typeface="+mn-cs"/>
            </a:rPr>
            <a:t> </a:t>
          </a:r>
          <a:r>
            <a:rPr lang="en-US" sz="1100" b="0" i="0">
              <a:solidFill>
                <a:schemeClr val="dk1"/>
              </a:solidFill>
              <a:effectLst/>
              <a:latin typeface="Daytona" panose="020B0604030500040204" pitchFamily="34" charset="0"/>
              <a:ea typeface="+mn-ea"/>
              <a:cs typeface="+mn-cs"/>
            </a:rPr>
            <a:t>12.5% of pot</a:t>
          </a:r>
        </a:p>
        <a:p>
          <a:r>
            <a:rPr lang="en-US" sz="1100" b="0" i="0">
              <a:solidFill>
                <a:schemeClr val="dk1"/>
              </a:solidFill>
              <a:effectLst/>
              <a:latin typeface="Daytona" panose="020B0604030500040204" pitchFamily="34" charset="0"/>
              <a:ea typeface="+mn-ea"/>
              <a:cs typeface="+mn-cs"/>
            </a:rPr>
            <a:t>Final Score:</a:t>
          </a:r>
          <a:r>
            <a:rPr lang="en-US" sz="1100" b="0" i="0" baseline="0">
              <a:solidFill>
                <a:schemeClr val="dk1"/>
              </a:solidFill>
              <a:effectLst/>
              <a:latin typeface="Daytona" panose="020B0604030500040204" pitchFamily="34" charset="0"/>
              <a:ea typeface="+mn-ea"/>
              <a:cs typeface="+mn-cs"/>
            </a:rPr>
            <a:t> </a:t>
          </a:r>
          <a:r>
            <a:rPr lang="en-US" sz="1100" b="0" i="0">
              <a:solidFill>
                <a:schemeClr val="dk1"/>
              </a:solidFill>
              <a:effectLst/>
              <a:latin typeface="Daytona" panose="020B0604030500040204" pitchFamily="34" charset="0"/>
              <a:ea typeface="+mn-ea"/>
              <a:cs typeface="+mn-cs"/>
            </a:rPr>
            <a:t>50.0% of pot</a:t>
          </a:r>
        </a:p>
        <a:p>
          <a:r>
            <a:rPr lang="en-US" sz="1100" b="0" i="0">
              <a:solidFill>
                <a:schemeClr val="dk1"/>
              </a:solidFill>
              <a:effectLst/>
              <a:latin typeface="Daytona" panose="020B0604030500040204" pitchFamily="34" charset="0"/>
              <a:ea typeface="+mn-ea"/>
              <a:cs typeface="+mn-cs"/>
            </a:rPr>
            <a:t>Unbroken ties split the pot equally.</a:t>
          </a:r>
        </a:p>
        <a:p>
          <a:r>
            <a:rPr lang="en-US" sz="1100" b="0" i="0">
              <a:solidFill>
                <a:schemeClr val="dk1"/>
              </a:solidFill>
              <a:effectLst/>
              <a:latin typeface="Daytona" panose="020B0604030500040204" pitchFamily="34" charset="0"/>
              <a:ea typeface="+mn-ea"/>
              <a:cs typeface="+mn-cs"/>
            </a:rPr>
            <a:t> </a:t>
          </a:r>
        </a:p>
        <a:p>
          <a:r>
            <a:rPr lang="en-US" sz="1100" b="0" i="0">
              <a:solidFill>
                <a:schemeClr val="dk1"/>
              </a:solidFill>
              <a:effectLst/>
              <a:latin typeface="Daytona" panose="020B0604030500040204" pitchFamily="34" charset="0"/>
              <a:ea typeface="+mn-ea"/>
              <a:cs typeface="+mn-cs"/>
            </a:rPr>
            <a:t>$75 entry. All proceeds distributed to winners. </a:t>
          </a:r>
          <a:br>
            <a:rPr lang="en-US" sz="1100" b="0" i="0">
              <a:solidFill>
                <a:schemeClr val="dk1"/>
              </a:solidFill>
              <a:effectLst/>
              <a:latin typeface="Daytona" panose="020B0604030500040204" pitchFamily="34" charset="0"/>
              <a:ea typeface="+mn-ea"/>
              <a:cs typeface="+mn-cs"/>
            </a:rPr>
          </a:br>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Email entries to rob.schoen@yahoo.com</a:t>
          </a:r>
          <a:br>
            <a:rPr lang="en-US" sz="1100" b="0" i="0">
              <a:solidFill>
                <a:schemeClr val="dk1"/>
              </a:solidFill>
              <a:effectLst/>
              <a:latin typeface="Daytona" panose="020B0604030500040204" pitchFamily="34" charset="0"/>
              <a:ea typeface="+mn-ea"/>
              <a:cs typeface="+mn-cs"/>
            </a:rPr>
          </a:br>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Entries and fees must be submitted by</a:t>
          </a:r>
          <a:r>
            <a:rPr lang="en-US" sz="1100" b="0" i="0" baseline="0">
              <a:solidFill>
                <a:schemeClr val="dk1"/>
              </a:solidFill>
              <a:effectLst/>
              <a:latin typeface="Daytona" panose="020B0604030500040204" pitchFamily="34" charset="0"/>
              <a:ea typeface="+mn-ea"/>
              <a:cs typeface="+mn-cs"/>
            </a:rPr>
            <a:t> 6am on Thursday April 9th. </a:t>
          </a:r>
          <a:endParaRPr lang="en-US" sz="1100" b="0" i="0">
            <a:solidFill>
              <a:schemeClr val="dk1"/>
            </a:solidFill>
            <a:effectLst/>
            <a:latin typeface="Daytona" panose="020B0604030500040204" pitchFamily="34" charset="0"/>
            <a:ea typeface="+mn-ea"/>
            <a:cs typeface="+mn-cs"/>
          </a:endParaRPr>
        </a:p>
        <a:p>
          <a:endParaRPr lang="en-US" sz="1100" b="0" i="0">
            <a:solidFill>
              <a:schemeClr val="dk1"/>
            </a:solidFill>
            <a:effectLst/>
            <a:latin typeface="Daytona" panose="020B0604030500040204" pitchFamily="34" charset="0"/>
            <a:ea typeface="+mn-ea"/>
            <a:cs typeface="+mn-cs"/>
          </a:endParaRPr>
        </a:p>
        <a:p>
          <a:r>
            <a:rPr lang="en-US" sz="1100" b="1" i="0">
              <a:solidFill>
                <a:schemeClr val="dk1"/>
              </a:solidFill>
              <a:effectLst/>
              <a:latin typeface="Daytona" panose="020B0604030500040204" pitchFamily="34" charset="0"/>
              <a:ea typeface="+mn-ea"/>
              <a:cs typeface="+mn-cs"/>
            </a:rPr>
            <a:t>All payments, distributions made via Venmo (@robschoen). </a:t>
          </a:r>
          <a:endParaRPr lang="en-US" sz="1100" b="0" i="0">
            <a:solidFill>
              <a:schemeClr val="dk1"/>
            </a:solidFill>
            <a:effectLst/>
            <a:latin typeface="Daytona" panose="020B0604030500040204" pitchFamily="34" charset="0"/>
            <a:ea typeface="+mn-ea"/>
            <a:cs typeface="+mn-cs"/>
          </a:endParaRPr>
        </a:p>
        <a:p>
          <a:endParaRPr lang="en-US" sz="1200" baseline="0">
            <a:latin typeface="Daytona" panose="020B0604030500040204" pitchFamily="34" charset="0"/>
          </a:endParaRPr>
        </a:p>
        <a:p>
          <a:endParaRPr lang="en-US" sz="1100" baseline="0">
            <a:latin typeface="Daytona" panose="020B0604030500040204" pitchFamily="34" charset="0"/>
          </a:endParaRPr>
        </a:p>
        <a:p>
          <a:endParaRPr lang="en-US" sz="1100" baseline="0"/>
        </a:p>
        <a:p>
          <a:endParaRPr lang="en-US" sz="1100" baseline="0"/>
        </a:p>
        <a:p>
          <a:endParaRPr lang="en-US" sz="1100" baseline="0"/>
        </a:p>
        <a:p>
          <a:endParaRPr lang="en-US" sz="1100" baseline="0"/>
        </a:p>
        <a:p>
          <a:endParaRPr lang="en-US" sz="1100" baseline="0"/>
        </a:p>
        <a:p>
          <a:endParaRPr lang="en-US" sz="1100" baseline="0"/>
        </a:p>
        <a:p>
          <a:endParaRPr lang="en-US" sz="1100" baseline="0"/>
        </a:p>
      </xdr:txBody>
    </xdr:sp>
    <xdr:clientData/>
  </xdr:twoCellAnchor>
  <xdr:twoCellAnchor>
    <xdr:from>
      <xdr:col>2</xdr:col>
      <xdr:colOff>95250</xdr:colOff>
      <xdr:row>0</xdr:row>
      <xdr:rowOff>95250</xdr:rowOff>
    </xdr:from>
    <xdr:to>
      <xdr:col>3</xdr:col>
      <xdr:colOff>673100</xdr:colOff>
      <xdr:row>2</xdr:row>
      <xdr:rowOff>171449</xdr:rowOff>
    </xdr:to>
    <xdr:sp macro="" textlink="">
      <xdr:nvSpPr>
        <xdr:cNvPr id="6" name="Rectangular Callout 5">
          <a:extLst>
            <a:ext uri="{FF2B5EF4-FFF2-40B4-BE49-F238E27FC236}">
              <a16:creationId xmlns:a16="http://schemas.microsoft.com/office/drawing/2014/main" id="{00000000-0008-0000-0000-000006000000}"/>
            </a:ext>
          </a:extLst>
        </xdr:cNvPr>
        <xdr:cNvSpPr/>
      </xdr:nvSpPr>
      <xdr:spPr>
        <a:xfrm>
          <a:off x="1441450" y="95250"/>
          <a:ext cx="2254250" cy="495299"/>
        </a:xfrm>
        <a:prstGeom prst="wedgeRectCallout">
          <a:avLst>
            <a:gd name="adj1" fmla="val -67055"/>
            <a:gd name="adj2" fmla="val 137176"/>
          </a:avLst>
        </a:prstGeom>
        <a:solidFill>
          <a:schemeClr val="bg1">
            <a:lumMod val="85000"/>
          </a:schemeClr>
        </a:solidFill>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r>
            <a:rPr lang="en-US" sz="1200">
              <a:solidFill>
                <a:sysClr val="windowText" lastClr="000000"/>
              </a:solidFill>
            </a:rPr>
            <a:t>Enter golfer</a:t>
          </a:r>
          <a:r>
            <a:rPr lang="en-US" sz="1200" baseline="0">
              <a:solidFill>
                <a:sysClr val="windowText" lastClr="000000"/>
              </a:solidFill>
            </a:rPr>
            <a:t> codes in this column (zero for empty slots)</a:t>
          </a:r>
        </a:p>
      </xdr:txBody>
    </xdr:sp>
    <xdr:clientData/>
  </xdr:twoCellAnchor>
  <xdr:twoCellAnchor>
    <xdr:from>
      <xdr:col>11</xdr:col>
      <xdr:colOff>112395</xdr:colOff>
      <xdr:row>1</xdr:row>
      <xdr:rowOff>17145</xdr:rowOff>
    </xdr:from>
    <xdr:to>
      <xdr:col>11</xdr:col>
      <xdr:colOff>4356100</xdr:colOff>
      <xdr:row>9</xdr:row>
      <xdr:rowOff>165100</xdr:rowOff>
    </xdr:to>
    <xdr:sp macro="" textlink="">
      <xdr:nvSpPr>
        <xdr:cNvPr id="7" name="TextBox 6">
          <a:extLst>
            <a:ext uri="{FF2B5EF4-FFF2-40B4-BE49-F238E27FC236}">
              <a16:creationId xmlns:a16="http://schemas.microsoft.com/office/drawing/2014/main" id="{00000000-0008-0000-0000-000007000000}"/>
            </a:ext>
          </a:extLst>
        </xdr:cNvPr>
        <xdr:cNvSpPr txBox="1"/>
      </xdr:nvSpPr>
      <xdr:spPr>
        <a:xfrm>
          <a:off x="11034395" y="258445"/>
          <a:ext cx="4243705" cy="217995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algn="l" defTabSz="914400" eaLnBrk="1" fontAlgn="auto" latinLnBrk="0" hangingPunct="1">
            <a:lnSpc>
              <a:spcPct val="100000"/>
            </a:lnSpc>
            <a:spcBef>
              <a:spcPts val="0"/>
            </a:spcBef>
            <a:spcAft>
              <a:spcPts val="0"/>
            </a:spcAft>
            <a:buClrTx/>
            <a:buSzTx/>
            <a:buFontTx/>
            <a:buNone/>
            <a:tabLst/>
            <a:defRPr/>
          </a:pPr>
          <a:r>
            <a:rPr lang="en-US">
              <a:effectLst/>
              <a:latin typeface="Daytona" panose="020B0604030500040204" pitchFamily="34" charset="0"/>
            </a:rPr>
            <a:t>Odds to win the Masters were collected from DraftKings</a:t>
          </a:r>
          <a:r>
            <a:rPr lang="en-US" baseline="0">
              <a:effectLst/>
              <a:latin typeface="Daytona" panose="020B0604030500040204" pitchFamily="34" charset="0"/>
            </a:rPr>
            <a:t> </a:t>
          </a:r>
          <a:r>
            <a:rPr lang="en-US">
              <a:effectLst/>
              <a:latin typeface="Daytona" panose="020B0604030500040204" pitchFamily="34" charset="0"/>
            </a:rPr>
            <a:t>(on 4/6/2026),</a:t>
          </a:r>
          <a:r>
            <a:rPr lang="en-US" baseline="0">
              <a:effectLst/>
              <a:latin typeface="Daytona" panose="020B0604030500040204" pitchFamily="34" charset="0"/>
            </a:rPr>
            <a:t> </a:t>
          </a:r>
          <a:r>
            <a:rPr lang="en-US">
              <a:effectLst/>
              <a:latin typeface="Daytona" panose="020B0604030500040204" pitchFamily="34" charset="0"/>
            </a:rPr>
            <a:t>converted to probabilities and normalized to sum to 100%.</a:t>
          </a:r>
        </a:p>
        <a:p>
          <a:pPr marL="0" marR="0" indent="0" algn="l" defTabSz="914400" eaLnBrk="1" fontAlgn="auto" latinLnBrk="0" hangingPunct="1">
            <a:lnSpc>
              <a:spcPct val="100000"/>
            </a:lnSpc>
            <a:spcBef>
              <a:spcPts val="0"/>
            </a:spcBef>
            <a:spcAft>
              <a:spcPts val="0"/>
            </a:spcAft>
            <a:buClrTx/>
            <a:buSzTx/>
            <a:buFontTx/>
            <a:buNone/>
            <a:tabLst/>
            <a:defRPr/>
          </a:pPr>
          <a:endParaRPr lang="en-US">
            <a:effectLst/>
            <a:latin typeface="Daytona" panose="020B0604030500040204" pitchFamily="34" charset="0"/>
          </a:endParaRPr>
        </a:p>
        <a:p>
          <a:r>
            <a:rPr lang="en-US" sz="1100" baseline="0">
              <a:latin typeface="Daytona" panose="020B0604030500040204" pitchFamily="34" charset="0"/>
            </a:rPr>
            <a:t>There are more players listed here than may ultimately participate in the field. It is your responsibility to only pick golfers that are competing in the tournament.</a:t>
          </a:r>
        </a:p>
        <a:p>
          <a:endParaRPr lang="en-US" sz="1100" baseline="0">
            <a:latin typeface="Daytona" panose="020B0604030500040204" pitchFamily="34" charset="0"/>
          </a:endParaRPr>
        </a:p>
        <a:p>
          <a:endParaRPr lang="en-US" sz="1100" baseline="0">
            <a:latin typeface="Daytona" panose="020B0604030500040204" pitchFamily="34" charset="0"/>
          </a:endParaRPr>
        </a:p>
        <a:p>
          <a:endParaRPr lang="en-US" sz="1100" baseline="0">
            <a:latin typeface="Daytona" panose="020B0604030500040204" pitchFamily="34" charset="0"/>
          </a:endParaRPr>
        </a:p>
        <a:p>
          <a:endParaRPr lang="en-US" sz="1100" baseline="0"/>
        </a:p>
        <a:p>
          <a:endParaRPr lang="en-US" sz="1100" baseline="0"/>
        </a:p>
        <a:p>
          <a:endParaRPr lang="en-US" sz="1100" baseline="0"/>
        </a:p>
        <a:p>
          <a:endParaRPr lang="en-US" sz="1100" baseline="0"/>
        </a:p>
        <a:p>
          <a:endParaRPr lang="en-US" sz="1100" baseline="0"/>
        </a:p>
        <a:p>
          <a:endParaRPr lang="en-US" sz="1100" baseline="0"/>
        </a:p>
      </xdr:txBody>
    </xdr: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M97"/>
  <sheetViews>
    <sheetView tabSelected="1" zoomScaleNormal="100" workbookViewId="0">
      <selection activeCell="B16" sqref="B16"/>
    </sheetView>
  </sheetViews>
  <sheetFormatPr defaultColWidth="8.85546875" defaultRowHeight="15.75" x14ac:dyDescent="0.25"/>
  <cols>
    <col min="1" max="2" width="8.85546875" style="2"/>
    <col min="3" max="3" width="22" style="2" customWidth="1"/>
    <col min="4" max="4" width="14.140625" style="2" customWidth="1"/>
    <col min="5" max="6" width="8.85546875" style="2"/>
    <col min="7" max="7" width="5.42578125" style="2" customWidth="1"/>
    <col min="8" max="8" width="9.140625" style="17"/>
    <col min="9" max="9" width="32" style="17" customWidth="1"/>
    <col min="10" max="10" width="8.140625" style="18" customWidth="1"/>
    <col min="11" max="11" width="17" style="17" customWidth="1"/>
    <col min="12" max="12" width="57.42578125" customWidth="1"/>
    <col min="13" max="13" width="9.28515625" customWidth="1"/>
  </cols>
  <sheetData>
    <row r="1" spans="1:13" ht="18.95" x14ac:dyDescent="0.25">
      <c r="H1" s="3" t="s">
        <v>22</v>
      </c>
      <c r="I1" s="4" t="s">
        <v>21</v>
      </c>
      <c r="J1" s="5" t="s">
        <v>18</v>
      </c>
      <c r="K1" s="6" t="s">
        <v>17</v>
      </c>
    </row>
    <row r="2" spans="1:13" ht="20.100000000000001" x14ac:dyDescent="0.25">
      <c r="H2" s="7">
        <v>1</v>
      </c>
      <c r="I2" s="8" t="s">
        <v>35</v>
      </c>
      <c r="J2" s="9">
        <v>440</v>
      </c>
      <c r="K2" s="10">
        <v>0.1321</v>
      </c>
    </row>
    <row r="3" spans="1:13" ht="20.100000000000001" x14ac:dyDescent="0.25">
      <c r="H3" s="7">
        <v>2</v>
      </c>
      <c r="I3" s="8" t="s">
        <v>10</v>
      </c>
      <c r="J3" s="9">
        <v>910</v>
      </c>
      <c r="K3" s="10">
        <v>7.0599999999999996E-2</v>
      </c>
    </row>
    <row r="4" spans="1:13" ht="20.100000000000001" x14ac:dyDescent="0.25">
      <c r="H4" s="7">
        <v>3</v>
      </c>
      <c r="I4" s="8" t="s">
        <v>1</v>
      </c>
      <c r="J4" s="9">
        <v>1075</v>
      </c>
      <c r="K4" s="10">
        <v>6.0699999999999997E-2</v>
      </c>
      <c r="L4" s="1"/>
      <c r="M4" s="1"/>
    </row>
    <row r="5" spans="1:13" ht="20.100000000000001" x14ac:dyDescent="0.25">
      <c r="H5" s="7">
        <v>4</v>
      </c>
      <c r="I5" s="8" t="s">
        <v>24</v>
      </c>
      <c r="J5" s="9">
        <v>1075</v>
      </c>
      <c r="K5" s="10">
        <v>6.0699999999999997E-2</v>
      </c>
      <c r="L5" s="1"/>
      <c r="M5" s="1"/>
    </row>
    <row r="6" spans="1:13" ht="20.100000000000001" x14ac:dyDescent="0.25">
      <c r="A6" s="11"/>
      <c r="B6" s="11" t="s">
        <v>22</v>
      </c>
      <c r="C6" s="11" t="s">
        <v>21</v>
      </c>
      <c r="D6" s="12" t="s">
        <v>19</v>
      </c>
      <c r="H6" s="7">
        <v>5</v>
      </c>
      <c r="I6" s="8" t="s">
        <v>46</v>
      </c>
      <c r="J6" s="9">
        <v>1700</v>
      </c>
      <c r="K6" s="10">
        <v>3.9600000000000003E-2</v>
      </c>
      <c r="L6" s="1"/>
      <c r="M6" s="1"/>
    </row>
    <row r="7" spans="1:13" ht="20.100000000000001" x14ac:dyDescent="0.25">
      <c r="A7" s="11"/>
      <c r="B7" s="13">
        <v>4</v>
      </c>
      <c r="C7" s="11" t="str">
        <f t="shared" ref="C7:C14" si="0">+VLOOKUP($B7,$H$2:$K$97,2,FALSE)</f>
        <v>Bryson DeChambeau</v>
      </c>
      <c r="D7" s="14">
        <f>+VLOOKUP($B7,$H$2:$K$97,4,FALSE)</f>
        <v>6.0699999999999997E-2</v>
      </c>
      <c r="E7" s="14"/>
      <c r="F7" s="14"/>
      <c r="H7" s="7">
        <v>6</v>
      </c>
      <c r="I7" s="8" t="s">
        <v>25</v>
      </c>
      <c r="J7" s="9">
        <v>1800</v>
      </c>
      <c r="K7" s="10">
        <v>3.7499999999999999E-2</v>
      </c>
      <c r="L7" s="1"/>
      <c r="M7" s="1"/>
    </row>
    <row r="8" spans="1:13" ht="20.100000000000001" x14ac:dyDescent="0.25">
      <c r="A8" s="11"/>
      <c r="B8" s="13">
        <v>6</v>
      </c>
      <c r="C8" s="11" t="str">
        <f t="shared" si="0"/>
        <v>Xander Schauffele</v>
      </c>
      <c r="D8" s="14">
        <f t="shared" ref="D8:D14" si="1">+VLOOKUP($B8,$H$2:$K$97,4,FALSE)</f>
        <v>3.7499999999999999E-2</v>
      </c>
      <c r="E8" s="14"/>
      <c r="F8" s="14"/>
      <c r="H8" s="7">
        <v>7</v>
      </c>
      <c r="I8" s="8" t="s">
        <v>37</v>
      </c>
      <c r="J8" s="9">
        <v>2350</v>
      </c>
      <c r="K8" s="10">
        <v>2.9100000000000001E-2</v>
      </c>
      <c r="L8" s="1"/>
      <c r="M8" s="1"/>
    </row>
    <row r="9" spans="1:13" ht="20.100000000000001" x14ac:dyDescent="0.25">
      <c r="A9" s="11"/>
      <c r="B9" s="13">
        <v>9</v>
      </c>
      <c r="C9" s="11" t="str">
        <f t="shared" si="0"/>
        <v>Matt Fitzpatrick</v>
      </c>
      <c r="D9" s="14">
        <f t="shared" si="1"/>
        <v>2.7400000000000001E-2</v>
      </c>
      <c r="E9" s="14"/>
      <c r="F9" s="14"/>
      <c r="H9" s="7">
        <v>8</v>
      </c>
      <c r="I9" s="8" t="s">
        <v>14</v>
      </c>
      <c r="J9" s="9">
        <v>2450</v>
      </c>
      <c r="K9" s="10">
        <v>2.8000000000000001E-2</v>
      </c>
      <c r="L9" s="1"/>
      <c r="M9" s="1"/>
    </row>
    <row r="10" spans="1:13" ht="20.100000000000001" x14ac:dyDescent="0.25">
      <c r="A10" s="11"/>
      <c r="B10" s="13">
        <v>15</v>
      </c>
      <c r="C10" s="11" t="str">
        <f t="shared" si="0"/>
        <v>Chris Gotterup</v>
      </c>
      <c r="D10" s="14">
        <f t="shared" si="1"/>
        <v>1.66E-2</v>
      </c>
      <c r="E10" s="14"/>
      <c r="F10" s="14"/>
      <c r="H10" s="7">
        <v>9</v>
      </c>
      <c r="I10" s="8" t="s">
        <v>52</v>
      </c>
      <c r="J10" s="9">
        <v>2500</v>
      </c>
      <c r="K10" s="10">
        <v>2.7400000000000001E-2</v>
      </c>
      <c r="L10" s="1"/>
      <c r="M10" s="1"/>
    </row>
    <row r="11" spans="1:13" ht="20.100000000000001" x14ac:dyDescent="0.25">
      <c r="A11" s="11"/>
      <c r="B11" s="13">
        <v>36</v>
      </c>
      <c r="C11" s="11" t="str">
        <f t="shared" si="0"/>
        <v>Jacob Bridgeman</v>
      </c>
      <c r="D11" s="14">
        <f t="shared" si="1"/>
        <v>7.7000000000000002E-3</v>
      </c>
      <c r="E11" s="14"/>
      <c r="F11" s="14"/>
      <c r="H11" s="7">
        <v>10</v>
      </c>
      <c r="I11" s="8" t="s">
        <v>36</v>
      </c>
      <c r="J11" s="9">
        <v>3100</v>
      </c>
      <c r="K11" s="10">
        <v>2.23E-2</v>
      </c>
      <c r="L11" s="1"/>
      <c r="M11" s="1"/>
    </row>
    <row r="12" spans="1:13" ht="20.100000000000001" x14ac:dyDescent="0.25">
      <c r="A12" s="11"/>
      <c r="B12" s="13"/>
      <c r="C12" s="11" t="str">
        <f t="shared" si="0"/>
        <v>No Player</v>
      </c>
      <c r="D12" s="14">
        <f t="shared" si="1"/>
        <v>0</v>
      </c>
      <c r="E12" s="14"/>
      <c r="F12" s="14"/>
      <c r="H12" s="7">
        <v>11</v>
      </c>
      <c r="I12" s="8" t="s">
        <v>9</v>
      </c>
      <c r="J12" s="9">
        <v>3500</v>
      </c>
      <c r="K12" s="10">
        <v>1.9800000000000002E-2</v>
      </c>
      <c r="L12" s="1"/>
      <c r="M12" s="1"/>
    </row>
    <row r="13" spans="1:13" ht="20.100000000000001" x14ac:dyDescent="0.25">
      <c r="A13" s="11"/>
      <c r="B13" s="13"/>
      <c r="C13" s="11" t="str">
        <f t="shared" si="0"/>
        <v>No Player</v>
      </c>
      <c r="D13" s="14">
        <f t="shared" si="1"/>
        <v>0</v>
      </c>
      <c r="E13" s="14"/>
      <c r="F13" s="14"/>
      <c r="H13" s="7">
        <v>12</v>
      </c>
      <c r="I13" s="8" t="s">
        <v>50</v>
      </c>
      <c r="J13" s="9">
        <v>3700</v>
      </c>
      <c r="K13" s="10">
        <v>1.8800000000000001E-2</v>
      </c>
      <c r="L13" s="1"/>
      <c r="M13" s="1"/>
    </row>
    <row r="14" spans="1:13" ht="20.100000000000001" x14ac:dyDescent="0.25">
      <c r="A14" s="11"/>
      <c r="B14" s="13"/>
      <c r="C14" s="11" t="str">
        <f t="shared" si="0"/>
        <v>No Player</v>
      </c>
      <c r="D14" s="14">
        <f t="shared" si="1"/>
        <v>0</v>
      </c>
      <c r="E14" s="14"/>
      <c r="F14" s="14"/>
      <c r="H14" s="7">
        <v>13</v>
      </c>
      <c r="I14" s="8" t="s">
        <v>32</v>
      </c>
      <c r="J14" s="9">
        <v>3700</v>
      </c>
      <c r="K14" s="10">
        <v>1.8800000000000001E-2</v>
      </c>
      <c r="L14" s="1"/>
      <c r="M14" s="1"/>
    </row>
    <row r="15" spans="1:13" ht="20.100000000000001" x14ac:dyDescent="0.25">
      <c r="H15" s="7">
        <v>14</v>
      </c>
      <c r="I15" s="8" t="s">
        <v>3</v>
      </c>
      <c r="J15" s="9">
        <v>3800</v>
      </c>
      <c r="K15" s="10">
        <v>1.83E-2</v>
      </c>
      <c r="L15" s="1"/>
      <c r="M15" s="1"/>
    </row>
    <row r="16" spans="1:13" ht="20.100000000000001" x14ac:dyDescent="0.25">
      <c r="B16" s="15"/>
      <c r="C16" s="11" t="s">
        <v>16</v>
      </c>
      <c r="D16" s="15">
        <f>+SUM(D7:D14)</f>
        <v>0.14990000000000001</v>
      </c>
      <c r="H16" s="7">
        <v>15</v>
      </c>
      <c r="I16" s="8" t="s">
        <v>60</v>
      </c>
      <c r="J16" s="9">
        <v>4200</v>
      </c>
      <c r="K16" s="10">
        <v>1.66E-2</v>
      </c>
      <c r="L16" s="1"/>
      <c r="M16" s="1"/>
    </row>
    <row r="17" spans="2:13" ht="21" thickBot="1" x14ac:dyDescent="0.3">
      <c r="H17" s="7">
        <v>16</v>
      </c>
      <c r="I17" s="8" t="s">
        <v>4</v>
      </c>
      <c r="J17" s="9">
        <v>4300</v>
      </c>
      <c r="K17" s="10">
        <v>1.6199999999999999E-2</v>
      </c>
      <c r="L17" s="1"/>
      <c r="M17" s="1"/>
    </row>
    <row r="18" spans="2:13" ht="21" thickBot="1" x14ac:dyDescent="0.3">
      <c r="B18" s="16" t="s">
        <v>23</v>
      </c>
      <c r="C18" s="19" t="s">
        <v>99</v>
      </c>
      <c r="D18" s="20"/>
      <c r="H18" s="7">
        <v>17</v>
      </c>
      <c r="I18" s="8" t="s">
        <v>8</v>
      </c>
      <c r="J18" s="9">
        <v>4400</v>
      </c>
      <c r="K18" s="10">
        <v>1.5800000000000002E-2</v>
      </c>
      <c r="L18" s="1"/>
      <c r="M18" s="1"/>
    </row>
    <row r="19" spans="2:13" ht="20.100000000000001" x14ac:dyDescent="0.25">
      <c r="H19" s="7">
        <v>18</v>
      </c>
      <c r="I19" s="8" t="s">
        <v>61</v>
      </c>
      <c r="J19" s="9">
        <v>4500</v>
      </c>
      <c r="K19" s="10">
        <v>1.55E-2</v>
      </c>
      <c r="L19" s="1"/>
      <c r="M19" s="1"/>
    </row>
    <row r="20" spans="2:13" ht="20.100000000000001" x14ac:dyDescent="0.25">
      <c r="H20" s="7">
        <v>19</v>
      </c>
      <c r="I20" s="8" t="s">
        <v>39</v>
      </c>
      <c r="J20" s="9">
        <v>4500</v>
      </c>
      <c r="K20" s="10">
        <v>1.55E-2</v>
      </c>
      <c r="L20" s="1"/>
      <c r="M20" s="1"/>
    </row>
    <row r="21" spans="2:13" ht="20.100000000000001" x14ac:dyDescent="0.25">
      <c r="H21" s="7">
        <v>20</v>
      </c>
      <c r="I21" s="8" t="s">
        <v>28</v>
      </c>
      <c r="J21" s="9">
        <v>4700</v>
      </c>
      <c r="K21" s="10">
        <v>1.49E-2</v>
      </c>
      <c r="L21" s="1"/>
      <c r="M21" s="1"/>
    </row>
    <row r="22" spans="2:13" ht="20.100000000000001" x14ac:dyDescent="0.25">
      <c r="H22" s="7">
        <v>21</v>
      </c>
      <c r="I22" s="8" t="s">
        <v>42</v>
      </c>
      <c r="J22" s="9">
        <v>5300</v>
      </c>
      <c r="K22" s="10">
        <v>1.32E-2</v>
      </c>
      <c r="L22" s="1"/>
      <c r="M22" s="1"/>
    </row>
    <row r="23" spans="2:13" ht="20.100000000000001" x14ac:dyDescent="0.25">
      <c r="H23" s="7">
        <v>22</v>
      </c>
      <c r="I23" s="8" t="s">
        <v>6</v>
      </c>
      <c r="J23" s="9">
        <v>5400</v>
      </c>
      <c r="K23" s="10">
        <v>1.2999999999999999E-2</v>
      </c>
      <c r="L23" s="1"/>
      <c r="M23" s="1"/>
    </row>
    <row r="24" spans="2:13" ht="20.100000000000001" x14ac:dyDescent="0.25">
      <c r="H24" s="7">
        <v>23</v>
      </c>
      <c r="I24" s="8" t="s">
        <v>29</v>
      </c>
      <c r="J24" s="9">
        <v>5600</v>
      </c>
      <c r="K24" s="10">
        <v>1.2500000000000001E-2</v>
      </c>
      <c r="L24" s="1"/>
      <c r="M24" s="1"/>
    </row>
    <row r="25" spans="2:13" ht="20.100000000000001" x14ac:dyDescent="0.25">
      <c r="H25" s="7">
        <v>24</v>
      </c>
      <c r="I25" s="8" t="s">
        <v>48</v>
      </c>
      <c r="J25" s="9">
        <v>5700</v>
      </c>
      <c r="K25" s="10">
        <v>1.23E-2</v>
      </c>
      <c r="L25" s="1"/>
      <c r="M25" s="1"/>
    </row>
    <row r="26" spans="2:13" ht="20.100000000000001" x14ac:dyDescent="0.25">
      <c r="H26" s="7">
        <v>25</v>
      </c>
      <c r="I26" s="8" t="s">
        <v>5</v>
      </c>
      <c r="J26" s="9">
        <v>6100</v>
      </c>
      <c r="K26" s="10">
        <v>1.15E-2</v>
      </c>
      <c r="L26" s="1"/>
      <c r="M26" s="1"/>
    </row>
    <row r="27" spans="2:13" ht="20.100000000000001" x14ac:dyDescent="0.25">
      <c r="H27" s="7">
        <v>26</v>
      </c>
      <c r="I27" s="8" t="s">
        <v>2</v>
      </c>
      <c r="J27" s="9">
        <v>6700</v>
      </c>
      <c r="K27" s="10">
        <v>1.0500000000000001E-2</v>
      </c>
      <c r="L27" s="1"/>
      <c r="M27" s="1"/>
    </row>
    <row r="28" spans="2:13" ht="20.100000000000001" x14ac:dyDescent="0.25">
      <c r="H28" s="7">
        <v>27</v>
      </c>
      <c r="I28" s="8" t="s">
        <v>27</v>
      </c>
      <c r="J28" s="9">
        <v>6700</v>
      </c>
      <c r="K28" s="10">
        <v>1.0500000000000001E-2</v>
      </c>
      <c r="L28" s="1"/>
      <c r="M28" s="1"/>
    </row>
    <row r="29" spans="2:13" ht="20.100000000000001" x14ac:dyDescent="0.25">
      <c r="H29" s="7">
        <v>28</v>
      </c>
      <c r="I29" s="8" t="s">
        <v>62</v>
      </c>
      <c r="J29" s="9">
        <v>6800</v>
      </c>
      <c r="K29" s="10">
        <v>1.03E-2</v>
      </c>
      <c r="L29" s="1"/>
      <c r="M29" s="1"/>
    </row>
    <row r="30" spans="2:13" x14ac:dyDescent="0.25">
      <c r="H30" s="7">
        <v>29</v>
      </c>
      <c r="I30" s="8" t="s">
        <v>34</v>
      </c>
      <c r="J30" s="9">
        <v>6900</v>
      </c>
      <c r="K30" s="10">
        <v>1.0200000000000001E-2</v>
      </c>
      <c r="L30" s="1"/>
      <c r="M30" s="1"/>
    </row>
    <row r="31" spans="2:13" x14ac:dyDescent="0.25">
      <c r="H31" s="7">
        <v>30</v>
      </c>
      <c r="I31" s="8" t="s">
        <v>40</v>
      </c>
      <c r="J31" s="9">
        <v>7000</v>
      </c>
      <c r="K31" s="10">
        <v>0.01</v>
      </c>
      <c r="L31" s="1"/>
      <c r="M31" s="1"/>
    </row>
    <row r="32" spans="2:13" x14ac:dyDescent="0.25">
      <c r="H32" s="7">
        <v>31</v>
      </c>
      <c r="I32" s="8" t="s">
        <v>65</v>
      </c>
      <c r="J32" s="9">
        <v>7200</v>
      </c>
      <c r="K32" s="10">
        <v>9.7999999999999997E-3</v>
      </c>
      <c r="L32" s="1"/>
      <c r="M32" s="1"/>
    </row>
    <row r="33" spans="8:13" x14ac:dyDescent="0.25">
      <c r="H33" s="7">
        <v>32</v>
      </c>
      <c r="I33" s="8" t="s">
        <v>44</v>
      </c>
      <c r="J33" s="9">
        <v>7400</v>
      </c>
      <c r="K33" s="10">
        <v>9.4999999999999998E-3</v>
      </c>
      <c r="L33" s="1"/>
      <c r="M33" s="1"/>
    </row>
    <row r="34" spans="8:13" x14ac:dyDescent="0.25">
      <c r="H34" s="7">
        <v>33</v>
      </c>
      <c r="I34" s="8" t="s">
        <v>41</v>
      </c>
      <c r="J34" s="9">
        <v>8000</v>
      </c>
      <c r="K34" s="10">
        <v>8.8000000000000005E-3</v>
      </c>
      <c r="L34" s="1"/>
      <c r="M34" s="1"/>
    </row>
    <row r="35" spans="8:13" x14ac:dyDescent="0.25">
      <c r="H35" s="7">
        <v>34</v>
      </c>
      <c r="I35" s="8" t="s">
        <v>63</v>
      </c>
      <c r="J35" s="9">
        <v>8200</v>
      </c>
      <c r="K35" s="10">
        <v>8.6E-3</v>
      </c>
      <c r="L35" s="1"/>
      <c r="M35" s="1"/>
    </row>
    <row r="36" spans="8:13" x14ac:dyDescent="0.25">
      <c r="H36" s="7">
        <v>35</v>
      </c>
      <c r="I36" s="8" t="s">
        <v>64</v>
      </c>
      <c r="J36" s="9">
        <v>8600</v>
      </c>
      <c r="K36" s="10">
        <v>8.2000000000000007E-3</v>
      </c>
      <c r="L36" s="1"/>
      <c r="M36" s="1"/>
    </row>
    <row r="37" spans="8:13" x14ac:dyDescent="0.25">
      <c r="H37" s="7">
        <v>36</v>
      </c>
      <c r="I37" s="8" t="s">
        <v>66</v>
      </c>
      <c r="J37" s="9">
        <v>9200</v>
      </c>
      <c r="K37" s="10">
        <v>7.7000000000000002E-3</v>
      </c>
      <c r="L37" s="1"/>
      <c r="M37" s="1"/>
    </row>
    <row r="38" spans="8:13" x14ac:dyDescent="0.25">
      <c r="H38" s="7">
        <v>37</v>
      </c>
      <c r="I38" s="8" t="s">
        <v>54</v>
      </c>
      <c r="J38" s="9">
        <v>9400</v>
      </c>
      <c r="K38" s="10">
        <v>7.4999999999999997E-3</v>
      </c>
      <c r="L38" s="1"/>
      <c r="M38" s="1"/>
    </row>
    <row r="39" spans="8:13" x14ac:dyDescent="0.25">
      <c r="H39" s="7">
        <v>38</v>
      </c>
      <c r="I39" s="8" t="s">
        <v>30</v>
      </c>
      <c r="J39" s="9">
        <v>9800</v>
      </c>
      <c r="K39" s="10">
        <v>7.1999999999999998E-3</v>
      </c>
      <c r="L39" s="1"/>
      <c r="M39" s="1"/>
    </row>
    <row r="40" spans="8:13" x14ac:dyDescent="0.25">
      <c r="H40" s="7">
        <v>39</v>
      </c>
      <c r="I40" s="8" t="s">
        <v>43</v>
      </c>
      <c r="J40" s="9">
        <v>10000</v>
      </c>
      <c r="K40" s="10">
        <v>7.1000000000000004E-3</v>
      </c>
      <c r="L40" s="1"/>
      <c r="M40" s="1"/>
    </row>
    <row r="41" spans="8:13" x14ac:dyDescent="0.25">
      <c r="H41" s="7">
        <v>40</v>
      </c>
      <c r="I41" s="8" t="s">
        <v>67</v>
      </c>
      <c r="J41" s="9">
        <v>10500</v>
      </c>
      <c r="K41" s="10">
        <v>6.7000000000000002E-3</v>
      </c>
      <c r="L41" s="1"/>
      <c r="M41" s="1"/>
    </row>
    <row r="42" spans="8:13" x14ac:dyDescent="0.25">
      <c r="H42" s="7">
        <v>41</v>
      </c>
      <c r="I42" s="8" t="s">
        <v>51</v>
      </c>
      <c r="J42" s="9">
        <v>10500</v>
      </c>
      <c r="K42" s="10">
        <v>6.7000000000000002E-3</v>
      </c>
      <c r="L42" s="1"/>
      <c r="M42" s="1"/>
    </row>
    <row r="43" spans="8:13" x14ac:dyDescent="0.25">
      <c r="H43" s="7">
        <v>42</v>
      </c>
      <c r="I43" s="8" t="s">
        <v>68</v>
      </c>
      <c r="J43" s="9">
        <v>11000</v>
      </c>
      <c r="K43" s="10">
        <v>6.4000000000000003E-3</v>
      </c>
      <c r="L43" s="1"/>
      <c r="M43" s="1"/>
    </row>
    <row r="44" spans="8:13" x14ac:dyDescent="0.25">
      <c r="H44" s="7">
        <v>43</v>
      </c>
      <c r="I44" s="8" t="s">
        <v>69</v>
      </c>
      <c r="J44" s="9">
        <v>11500</v>
      </c>
      <c r="K44" s="10">
        <v>6.1000000000000004E-3</v>
      </c>
      <c r="L44" s="1"/>
      <c r="M44" s="1"/>
    </row>
    <row r="45" spans="8:13" x14ac:dyDescent="0.25">
      <c r="H45" s="7">
        <v>44</v>
      </c>
      <c r="I45" s="8" t="s">
        <v>38</v>
      </c>
      <c r="J45" s="9">
        <v>12000</v>
      </c>
      <c r="K45" s="10">
        <v>5.8999999999999999E-3</v>
      </c>
      <c r="L45" s="1"/>
      <c r="M45" s="1"/>
    </row>
    <row r="46" spans="8:13" x14ac:dyDescent="0.25">
      <c r="H46" s="7">
        <v>45</v>
      </c>
      <c r="I46" s="8" t="s">
        <v>70</v>
      </c>
      <c r="J46" s="9">
        <v>12500</v>
      </c>
      <c r="K46" s="10">
        <v>5.7000000000000002E-3</v>
      </c>
      <c r="L46" s="1"/>
      <c r="M46" s="1"/>
    </row>
    <row r="47" spans="8:13" x14ac:dyDescent="0.25">
      <c r="H47" s="7">
        <v>46</v>
      </c>
      <c r="I47" s="8" t="s">
        <v>33</v>
      </c>
      <c r="J47" s="9">
        <v>13500</v>
      </c>
      <c r="K47" s="10">
        <v>5.1999999999999998E-3</v>
      </c>
      <c r="L47" s="1"/>
      <c r="M47" s="1"/>
    </row>
    <row r="48" spans="8:13" x14ac:dyDescent="0.25">
      <c r="H48" s="7">
        <v>47</v>
      </c>
      <c r="I48" s="8" t="s">
        <v>72</v>
      </c>
      <c r="J48" s="9">
        <v>14000</v>
      </c>
      <c r="K48" s="10">
        <v>5.1000000000000004E-3</v>
      </c>
      <c r="L48" s="1"/>
      <c r="M48" s="1"/>
    </row>
    <row r="49" spans="8:13" x14ac:dyDescent="0.25">
      <c r="H49" s="7">
        <v>48</v>
      </c>
      <c r="I49" s="8" t="s">
        <v>71</v>
      </c>
      <c r="J49" s="9">
        <v>15500</v>
      </c>
      <c r="K49" s="10">
        <v>4.5999999999999999E-3</v>
      </c>
      <c r="L49" s="1"/>
      <c r="M49" s="1"/>
    </row>
    <row r="50" spans="8:13" x14ac:dyDescent="0.25">
      <c r="H50" s="7">
        <v>49</v>
      </c>
      <c r="I50" s="8" t="s">
        <v>73</v>
      </c>
      <c r="J50" s="9">
        <v>16000</v>
      </c>
      <c r="K50" s="10">
        <v>4.4000000000000003E-3</v>
      </c>
      <c r="L50" s="1"/>
      <c r="M50" s="1"/>
    </row>
    <row r="51" spans="8:13" x14ac:dyDescent="0.25">
      <c r="H51" s="7">
        <v>50</v>
      </c>
      <c r="I51" s="8" t="s">
        <v>74</v>
      </c>
      <c r="J51" s="9">
        <v>16500</v>
      </c>
      <c r="K51" s="10">
        <v>4.3E-3</v>
      </c>
      <c r="L51" s="1"/>
      <c r="M51" s="1"/>
    </row>
    <row r="52" spans="8:13" x14ac:dyDescent="0.25">
      <c r="H52" s="7">
        <v>51</v>
      </c>
      <c r="I52" s="8" t="s">
        <v>49</v>
      </c>
      <c r="J52" s="9">
        <v>18000</v>
      </c>
      <c r="K52" s="10">
        <v>3.8999999999999998E-3</v>
      </c>
      <c r="L52" s="1"/>
      <c r="M52" s="1"/>
    </row>
    <row r="53" spans="8:13" x14ac:dyDescent="0.25">
      <c r="H53" s="7">
        <v>52</v>
      </c>
      <c r="I53" s="8" t="s">
        <v>53</v>
      </c>
      <c r="J53" s="9">
        <v>19000</v>
      </c>
      <c r="K53" s="10">
        <v>3.7000000000000002E-3</v>
      </c>
      <c r="L53" s="1"/>
      <c r="M53" s="1"/>
    </row>
    <row r="54" spans="8:13" x14ac:dyDescent="0.25">
      <c r="H54" s="7">
        <v>53</v>
      </c>
      <c r="I54" s="8" t="s">
        <v>26</v>
      </c>
      <c r="J54" s="9">
        <v>20000</v>
      </c>
      <c r="K54" s="10">
        <v>3.5000000000000001E-3</v>
      </c>
      <c r="L54" s="1"/>
      <c r="M54" s="1"/>
    </row>
    <row r="55" spans="8:13" x14ac:dyDescent="0.25">
      <c r="H55" s="7">
        <v>54</v>
      </c>
      <c r="I55" s="8" t="s">
        <v>75</v>
      </c>
      <c r="J55" s="9">
        <v>20000</v>
      </c>
      <c r="K55" s="10">
        <v>3.5000000000000001E-3</v>
      </c>
      <c r="L55" s="1"/>
      <c r="M55" s="1"/>
    </row>
    <row r="56" spans="8:13" x14ac:dyDescent="0.25">
      <c r="H56" s="7">
        <v>55</v>
      </c>
      <c r="I56" s="8" t="s">
        <v>76</v>
      </c>
      <c r="J56" s="9">
        <v>21000</v>
      </c>
      <c r="K56" s="10">
        <v>3.3999999999999998E-3</v>
      </c>
      <c r="L56" s="1"/>
      <c r="M56" s="1"/>
    </row>
    <row r="57" spans="8:13" x14ac:dyDescent="0.25">
      <c r="H57" s="7">
        <v>56</v>
      </c>
      <c r="I57" s="8" t="s">
        <v>47</v>
      </c>
      <c r="J57" s="9">
        <v>21000</v>
      </c>
      <c r="K57" s="10">
        <v>3.3999999999999998E-3</v>
      </c>
      <c r="L57" s="1"/>
      <c r="M57" s="1"/>
    </row>
    <row r="58" spans="8:13" x14ac:dyDescent="0.25">
      <c r="H58" s="7">
        <v>57</v>
      </c>
      <c r="I58" s="8" t="s">
        <v>7</v>
      </c>
      <c r="J58" s="9">
        <v>22000</v>
      </c>
      <c r="K58" s="10">
        <v>3.2000000000000002E-3</v>
      </c>
      <c r="L58" s="1"/>
      <c r="M58" s="1"/>
    </row>
    <row r="59" spans="8:13" x14ac:dyDescent="0.25">
      <c r="H59" s="7">
        <v>58</v>
      </c>
      <c r="I59" s="8" t="s">
        <v>55</v>
      </c>
      <c r="J59" s="9">
        <v>22500</v>
      </c>
      <c r="K59" s="10">
        <v>3.2000000000000002E-3</v>
      </c>
      <c r="L59" s="1"/>
      <c r="M59" s="1"/>
    </row>
    <row r="60" spans="8:13" x14ac:dyDescent="0.25">
      <c r="H60" s="7">
        <v>59</v>
      </c>
      <c r="I60" s="8" t="s">
        <v>56</v>
      </c>
      <c r="J60" s="9">
        <v>22500</v>
      </c>
      <c r="K60" s="10">
        <v>3.2000000000000002E-3</v>
      </c>
      <c r="L60" s="1"/>
      <c r="M60" s="1"/>
    </row>
    <row r="61" spans="8:13" x14ac:dyDescent="0.25">
      <c r="H61" s="7">
        <v>60</v>
      </c>
      <c r="I61" s="8" t="s">
        <v>0</v>
      </c>
      <c r="J61" s="9">
        <v>23000</v>
      </c>
      <c r="K61" s="10">
        <v>3.0999999999999999E-3</v>
      </c>
      <c r="L61" s="1"/>
      <c r="M61" s="1"/>
    </row>
    <row r="62" spans="8:13" x14ac:dyDescent="0.25">
      <c r="H62" s="7">
        <v>61</v>
      </c>
      <c r="I62" s="8" t="s">
        <v>82</v>
      </c>
      <c r="J62" s="9">
        <v>23000</v>
      </c>
      <c r="K62" s="10">
        <v>3.0999999999999999E-3</v>
      </c>
      <c r="L62" s="1"/>
      <c r="M62" s="1"/>
    </row>
    <row r="63" spans="8:13" x14ac:dyDescent="0.25">
      <c r="H63" s="7">
        <v>62</v>
      </c>
      <c r="I63" s="8" t="s">
        <v>77</v>
      </c>
      <c r="J63" s="9">
        <v>24000</v>
      </c>
      <c r="K63" s="10">
        <v>3.0000000000000001E-3</v>
      </c>
      <c r="L63" s="1"/>
      <c r="M63" s="1"/>
    </row>
    <row r="64" spans="8:13" x14ac:dyDescent="0.25">
      <c r="H64" s="7">
        <v>63</v>
      </c>
      <c r="I64" s="8" t="s">
        <v>78</v>
      </c>
      <c r="J64" s="9">
        <v>25000</v>
      </c>
      <c r="K64" s="10">
        <v>2.8E-3</v>
      </c>
      <c r="L64" s="1"/>
      <c r="M64" s="1"/>
    </row>
    <row r="65" spans="8:13" x14ac:dyDescent="0.25">
      <c r="H65" s="7">
        <v>64</v>
      </c>
      <c r="I65" s="8" t="s">
        <v>80</v>
      </c>
      <c r="J65" s="9">
        <v>26000</v>
      </c>
      <c r="K65" s="10">
        <v>2.7000000000000001E-3</v>
      </c>
      <c r="L65" s="1"/>
      <c r="M65" s="1"/>
    </row>
    <row r="66" spans="8:13" x14ac:dyDescent="0.25">
      <c r="H66" s="7">
        <v>65</v>
      </c>
      <c r="I66" s="8" t="s">
        <v>79</v>
      </c>
      <c r="J66" s="9">
        <v>30000</v>
      </c>
      <c r="K66" s="10">
        <v>2.3999999999999998E-3</v>
      </c>
      <c r="L66" s="1"/>
      <c r="M66" s="1"/>
    </row>
    <row r="67" spans="8:13" x14ac:dyDescent="0.25">
      <c r="H67" s="7">
        <v>66</v>
      </c>
      <c r="I67" s="8" t="s">
        <v>81</v>
      </c>
      <c r="J67" s="9">
        <v>30000</v>
      </c>
      <c r="K67" s="10">
        <v>2.3999999999999998E-3</v>
      </c>
      <c r="L67" s="1"/>
      <c r="M67" s="1"/>
    </row>
    <row r="68" spans="8:13" x14ac:dyDescent="0.25">
      <c r="H68" s="7">
        <v>67</v>
      </c>
      <c r="I68" s="8" t="s">
        <v>98</v>
      </c>
      <c r="J68" s="9">
        <v>30000</v>
      </c>
      <c r="K68" s="10">
        <v>2.3999999999999998E-3</v>
      </c>
      <c r="L68" s="1"/>
      <c r="M68" s="1"/>
    </row>
    <row r="69" spans="8:13" x14ac:dyDescent="0.25">
      <c r="H69" s="7">
        <v>68</v>
      </c>
      <c r="I69" s="8" t="s">
        <v>85</v>
      </c>
      <c r="J69" s="9">
        <v>31000</v>
      </c>
      <c r="K69" s="10">
        <v>2.3E-3</v>
      </c>
      <c r="L69" s="1"/>
      <c r="M69" s="1"/>
    </row>
    <row r="70" spans="8:13" x14ac:dyDescent="0.25">
      <c r="H70" s="7">
        <v>69</v>
      </c>
      <c r="I70" s="8" t="s">
        <v>83</v>
      </c>
      <c r="J70" s="9">
        <v>31000</v>
      </c>
      <c r="K70" s="10">
        <v>2.3E-3</v>
      </c>
      <c r="L70" s="1"/>
      <c r="M70" s="1"/>
    </row>
    <row r="71" spans="8:13" x14ac:dyDescent="0.25">
      <c r="H71" s="7">
        <v>70</v>
      </c>
      <c r="I71" s="8" t="s">
        <v>86</v>
      </c>
      <c r="J71" s="9">
        <v>39000</v>
      </c>
      <c r="K71" s="10">
        <v>1.8E-3</v>
      </c>
      <c r="L71" s="1"/>
      <c r="M71" s="1"/>
    </row>
    <row r="72" spans="8:13" x14ac:dyDescent="0.25">
      <c r="H72" s="7">
        <v>71</v>
      </c>
      <c r="I72" s="8" t="s">
        <v>88</v>
      </c>
      <c r="J72" s="9">
        <v>40000</v>
      </c>
      <c r="K72" s="10">
        <v>1.8E-3</v>
      </c>
      <c r="L72" s="1"/>
      <c r="M72" s="1"/>
    </row>
    <row r="73" spans="8:13" x14ac:dyDescent="0.25">
      <c r="H73" s="7">
        <v>72</v>
      </c>
      <c r="I73" s="8" t="s">
        <v>84</v>
      </c>
      <c r="J73" s="9">
        <v>40000</v>
      </c>
      <c r="K73" s="10">
        <v>1.8E-3</v>
      </c>
      <c r="L73" s="1"/>
      <c r="M73" s="1"/>
    </row>
    <row r="74" spans="8:13" x14ac:dyDescent="0.25">
      <c r="H74" s="7">
        <v>73</v>
      </c>
      <c r="I74" s="8" t="s">
        <v>87</v>
      </c>
      <c r="J74" s="9">
        <v>41000</v>
      </c>
      <c r="K74" s="10">
        <v>1.6999999999999999E-3</v>
      </c>
      <c r="L74" s="1"/>
      <c r="M74" s="1"/>
    </row>
    <row r="75" spans="8:13" x14ac:dyDescent="0.25">
      <c r="H75" s="7">
        <v>74</v>
      </c>
      <c r="I75" s="8" t="s">
        <v>57</v>
      </c>
      <c r="J75" s="9">
        <v>55000</v>
      </c>
      <c r="K75" s="10">
        <v>1.2999999999999999E-3</v>
      </c>
      <c r="L75" s="1"/>
      <c r="M75" s="1"/>
    </row>
    <row r="76" spans="8:13" x14ac:dyDescent="0.25">
      <c r="H76" s="7">
        <v>75</v>
      </c>
      <c r="I76" s="8" t="s">
        <v>13</v>
      </c>
      <c r="J76" s="9">
        <v>57500</v>
      </c>
      <c r="K76" s="10">
        <v>1.1999999999999999E-3</v>
      </c>
      <c r="L76" s="1"/>
      <c r="M76" s="1"/>
    </row>
    <row r="77" spans="8:13" x14ac:dyDescent="0.25">
      <c r="H77" s="7">
        <v>76</v>
      </c>
      <c r="I77" s="8" t="s">
        <v>12</v>
      </c>
      <c r="J77" s="9">
        <v>57500</v>
      </c>
      <c r="K77" s="10">
        <v>1.1999999999999999E-3</v>
      </c>
      <c r="L77" s="1"/>
      <c r="M77" s="1"/>
    </row>
    <row r="78" spans="8:13" x14ac:dyDescent="0.25">
      <c r="H78" s="7">
        <v>77</v>
      </c>
      <c r="I78" s="8" t="s">
        <v>15</v>
      </c>
      <c r="J78" s="9">
        <v>57500</v>
      </c>
      <c r="K78" s="10">
        <v>1.1999999999999999E-3</v>
      </c>
      <c r="L78" s="1"/>
      <c r="M78" s="1"/>
    </row>
    <row r="79" spans="8:13" x14ac:dyDescent="0.25">
      <c r="H79" s="7">
        <v>78</v>
      </c>
      <c r="I79" s="8" t="s">
        <v>58</v>
      </c>
      <c r="J79" s="9">
        <v>250000</v>
      </c>
      <c r="K79" s="10">
        <v>2.9999999999999997E-4</v>
      </c>
      <c r="L79" s="1"/>
      <c r="M79" s="1"/>
    </row>
    <row r="80" spans="8:13" x14ac:dyDescent="0.25">
      <c r="H80" s="7">
        <v>79</v>
      </c>
      <c r="I80" s="8" t="s">
        <v>89</v>
      </c>
      <c r="J80" s="9">
        <v>250000</v>
      </c>
      <c r="K80" s="10">
        <v>2.9999999999999997E-4</v>
      </c>
      <c r="L80" s="1"/>
      <c r="M80" s="1"/>
    </row>
    <row r="81" spans="8:13" x14ac:dyDescent="0.25">
      <c r="H81" s="7">
        <v>80</v>
      </c>
      <c r="I81" s="8" t="s">
        <v>11</v>
      </c>
      <c r="J81" s="9">
        <v>250000</v>
      </c>
      <c r="K81" s="10">
        <v>2.9999999999999997E-4</v>
      </c>
      <c r="L81" s="1"/>
      <c r="M81" s="1"/>
    </row>
    <row r="82" spans="8:13" x14ac:dyDescent="0.25">
      <c r="H82" s="7">
        <v>81</v>
      </c>
      <c r="I82" s="8" t="s">
        <v>59</v>
      </c>
      <c r="J82" s="9">
        <v>350000</v>
      </c>
      <c r="K82" s="10">
        <v>2.0000000000000001E-4</v>
      </c>
      <c r="L82" s="1"/>
      <c r="M82" s="1"/>
    </row>
    <row r="83" spans="8:13" x14ac:dyDescent="0.25">
      <c r="H83" s="7">
        <v>82</v>
      </c>
      <c r="I83" s="8" t="s">
        <v>90</v>
      </c>
      <c r="J83" s="9">
        <v>350000</v>
      </c>
      <c r="K83" s="10">
        <v>2.0000000000000001E-4</v>
      </c>
      <c r="L83" s="1"/>
      <c r="M83" s="1"/>
    </row>
    <row r="84" spans="8:13" x14ac:dyDescent="0.25">
      <c r="H84" s="7">
        <v>83</v>
      </c>
      <c r="I84" s="8" t="s">
        <v>92</v>
      </c>
      <c r="J84" s="9">
        <v>400000</v>
      </c>
      <c r="K84" s="10">
        <v>2.0000000000000001E-4</v>
      </c>
      <c r="L84" s="1"/>
      <c r="M84" s="1"/>
    </row>
    <row r="85" spans="8:13" x14ac:dyDescent="0.25">
      <c r="H85" s="7">
        <v>84</v>
      </c>
      <c r="I85" s="8" t="s">
        <v>91</v>
      </c>
      <c r="J85" s="9">
        <v>450000</v>
      </c>
      <c r="K85" s="10">
        <v>2.0000000000000001E-4</v>
      </c>
      <c r="L85" s="1"/>
      <c r="M85" s="1"/>
    </row>
    <row r="86" spans="8:13" x14ac:dyDescent="0.25">
      <c r="H86" s="7">
        <v>85</v>
      </c>
      <c r="I86" s="8" t="s">
        <v>93</v>
      </c>
      <c r="J86" s="9">
        <v>450000</v>
      </c>
      <c r="K86" s="10">
        <v>2.0000000000000001E-4</v>
      </c>
      <c r="L86" s="1"/>
      <c r="M86" s="1"/>
    </row>
    <row r="87" spans="8:13" x14ac:dyDescent="0.25">
      <c r="H87" s="7">
        <v>86</v>
      </c>
      <c r="I87" s="8" t="s">
        <v>94</v>
      </c>
      <c r="J87" s="9">
        <v>450000</v>
      </c>
      <c r="K87" s="10">
        <v>2.0000000000000001E-4</v>
      </c>
      <c r="L87" s="1"/>
      <c r="M87" s="1"/>
    </row>
    <row r="88" spans="8:13" x14ac:dyDescent="0.25">
      <c r="H88" s="7">
        <v>87</v>
      </c>
      <c r="I88" s="8" t="s">
        <v>95</v>
      </c>
      <c r="J88" s="9">
        <v>450000</v>
      </c>
      <c r="K88" s="10">
        <v>2.0000000000000001E-4</v>
      </c>
      <c r="L88" s="1"/>
      <c r="M88" s="1"/>
    </row>
    <row r="89" spans="8:13" x14ac:dyDescent="0.25">
      <c r="H89" s="7">
        <v>88</v>
      </c>
      <c r="I89" s="8" t="s">
        <v>96</v>
      </c>
      <c r="J89" s="9">
        <v>500000</v>
      </c>
      <c r="K89" s="10">
        <v>1E-4</v>
      </c>
    </row>
    <row r="90" spans="8:13" x14ac:dyDescent="0.25">
      <c r="H90" s="7">
        <v>89</v>
      </c>
      <c r="I90" s="8" t="s">
        <v>45</v>
      </c>
      <c r="J90" s="9">
        <v>500000</v>
      </c>
      <c r="K90" s="10">
        <v>1E-4</v>
      </c>
    </row>
    <row r="91" spans="8:13" x14ac:dyDescent="0.25">
      <c r="H91" s="7">
        <v>90</v>
      </c>
      <c r="I91" s="8" t="s">
        <v>31</v>
      </c>
      <c r="J91" s="9">
        <v>500000</v>
      </c>
      <c r="K91" s="10">
        <v>1E-4</v>
      </c>
    </row>
    <row r="92" spans="8:13" x14ac:dyDescent="0.25">
      <c r="H92" s="7">
        <v>91</v>
      </c>
      <c r="I92" s="17" t="s">
        <v>97</v>
      </c>
      <c r="J92" s="9">
        <v>500000</v>
      </c>
      <c r="K92" s="10">
        <v>1E-4</v>
      </c>
    </row>
    <row r="93" spans="8:13" x14ac:dyDescent="0.25">
      <c r="H93" s="7">
        <v>0</v>
      </c>
      <c r="I93" s="17" t="s">
        <v>20</v>
      </c>
      <c r="J93" s="9">
        <v>999999</v>
      </c>
      <c r="K93" s="10">
        <v>0</v>
      </c>
    </row>
    <row r="94" spans="8:13" x14ac:dyDescent="0.25">
      <c r="H94" s="7"/>
      <c r="J94" s="9"/>
      <c r="K94" s="10"/>
    </row>
    <row r="95" spans="8:13" x14ac:dyDescent="0.25">
      <c r="H95" s="7"/>
      <c r="J95" s="9"/>
      <c r="K95" s="10"/>
    </row>
    <row r="96" spans="8:13" x14ac:dyDescent="0.25">
      <c r="H96" s="7"/>
      <c r="J96" s="9"/>
      <c r="K96" s="10"/>
    </row>
    <row r="97" spans="8:11" x14ac:dyDescent="0.25">
      <c r="H97" s="7"/>
      <c r="J97" s="9"/>
      <c r="K97" s="10"/>
    </row>
  </sheetData>
  <mergeCells count="1">
    <mergeCell ref="C18:D18"/>
  </mergeCells>
  <conditionalFormatting sqref="D16">
    <cfRule type="cellIs" dxfId="1" priority="3" operator="greaterThan">
      <formula>0.15</formula>
    </cfRule>
    <cfRule type="expression" dxfId="0" priority="4">
      <formula>$D$16&lt;=0.15</formula>
    </cfRule>
  </conditionalFormatting>
  <printOptions horizontalCentered="1"/>
  <pageMargins left="0.5" right="0.5" top="0.75" bottom="0.75" header="0.3" footer="0.3"/>
  <pageSetup scale="61" fitToHeight="0"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MASTERS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 Schoen</dc:creator>
  <cp:lastModifiedBy>paul drury</cp:lastModifiedBy>
  <cp:lastPrinted>2017-04-04T12:34:33Z</cp:lastPrinted>
  <dcterms:created xsi:type="dcterms:W3CDTF">2017-04-01T22:01:35Z</dcterms:created>
  <dcterms:modified xsi:type="dcterms:W3CDTF">2026-04-09T10:36:22Z</dcterms:modified>
</cp:coreProperties>
</file>