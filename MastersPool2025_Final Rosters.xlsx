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obschoen/Dropbox/golff/Masters2025/other/"/>
    </mc:Choice>
  </mc:AlternateContent>
  <xr:revisionPtr revIDLastSave="0" documentId="13_ncr:1_{70AE746C-FB8E-BC41-B4A7-979147DE7B76}" xr6:coauthVersionLast="47" xr6:coauthVersionMax="47" xr10:uidLastSave="{00000000-0000-0000-0000-000000000000}"/>
  <bookViews>
    <workbookView xWindow="7080" yWindow="1580" windowWidth="61720" windowHeight="24360" activeTab="1" xr2:uid="{190C6C04-6CEC-424D-9838-3D29380A9514}"/>
  </bookViews>
  <sheets>
    <sheet name="Day 1 Scores" sheetId="4" r:id="rId1"/>
    <sheet name="Rosters (FINAL)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4" l="1"/>
  <c r="U17" i="4"/>
  <c r="U32" i="4"/>
  <c r="U33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T2" i="4"/>
  <c r="R2" i="4"/>
  <c r="P2" i="4"/>
  <c r="N2" i="4"/>
  <c r="L40" i="4"/>
  <c r="L39" i="4"/>
  <c r="L38" i="4"/>
  <c r="L37" i="4"/>
  <c r="L36" i="4"/>
  <c r="L35" i="4"/>
  <c r="L34" i="4"/>
  <c r="L33" i="4"/>
  <c r="L32" i="4"/>
  <c r="L31" i="4"/>
  <c r="U31" i="4" s="1"/>
  <c r="L30" i="4"/>
  <c r="U30" i="4" s="1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U15" i="4" s="1"/>
  <c r="L14" i="4"/>
  <c r="U14" i="4" s="1"/>
  <c r="L13" i="4"/>
  <c r="L12" i="4"/>
  <c r="L11" i="4"/>
  <c r="L10" i="4"/>
  <c r="L9" i="4"/>
  <c r="L8" i="4"/>
  <c r="L7" i="4"/>
  <c r="L6" i="4"/>
  <c r="L5" i="4"/>
  <c r="L4" i="4"/>
  <c r="L3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H40" i="4"/>
  <c r="H39" i="4"/>
  <c r="H38" i="4"/>
  <c r="H37" i="4"/>
  <c r="H36" i="4"/>
  <c r="H35" i="4"/>
  <c r="H34" i="4"/>
  <c r="H33" i="4"/>
  <c r="H32" i="4"/>
  <c r="H31" i="4"/>
  <c r="H30" i="4"/>
  <c r="H29" i="4"/>
  <c r="U29" i="4" s="1"/>
  <c r="H28" i="4"/>
  <c r="U28" i="4" s="1"/>
  <c r="H27" i="4"/>
  <c r="U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U13" i="4" s="1"/>
  <c r="H12" i="4"/>
  <c r="U12" i="4" s="1"/>
  <c r="H11" i="4"/>
  <c r="U11" i="4" s="1"/>
  <c r="H10" i="4"/>
  <c r="H9" i="4"/>
  <c r="H8" i="4"/>
  <c r="H7" i="4"/>
  <c r="H6" i="4"/>
  <c r="H5" i="4"/>
  <c r="H4" i="4"/>
  <c r="H3" i="4"/>
  <c r="F2" i="4"/>
  <c r="U2" i="4" s="1"/>
  <c r="L2" i="4"/>
  <c r="J2" i="4"/>
  <c r="H2" i="4"/>
  <c r="F40" i="4"/>
  <c r="U40" i="4" s="1"/>
  <c r="F39" i="4"/>
  <c r="U39" i="4" s="1"/>
  <c r="F38" i="4"/>
  <c r="U38" i="4" s="1"/>
  <c r="F37" i="4"/>
  <c r="U37" i="4" s="1"/>
  <c r="F36" i="4"/>
  <c r="U36" i="4" s="1"/>
  <c r="F35" i="4"/>
  <c r="U35" i="4" s="1"/>
  <c r="F34" i="4"/>
  <c r="U34" i="4" s="1"/>
  <c r="F33" i="4"/>
  <c r="F32" i="4"/>
  <c r="F31" i="4"/>
  <c r="F30" i="4"/>
  <c r="F29" i="4"/>
  <c r="F28" i="4"/>
  <c r="F27" i="4"/>
  <c r="F26" i="4"/>
  <c r="U26" i="4" s="1"/>
  <c r="F25" i="4"/>
  <c r="U25" i="4" s="1"/>
  <c r="F24" i="4"/>
  <c r="U24" i="4" s="1"/>
  <c r="F23" i="4"/>
  <c r="U23" i="4" s="1"/>
  <c r="F22" i="4"/>
  <c r="U22" i="4" s="1"/>
  <c r="F21" i="4"/>
  <c r="U21" i="4" s="1"/>
  <c r="F20" i="4"/>
  <c r="U20" i="4" s="1"/>
  <c r="F19" i="4"/>
  <c r="U19" i="4" s="1"/>
  <c r="F18" i="4"/>
  <c r="U18" i="4" s="1"/>
  <c r="F17" i="4"/>
  <c r="F16" i="4"/>
  <c r="F15" i="4"/>
  <c r="F14" i="4"/>
  <c r="F13" i="4"/>
  <c r="F12" i="4"/>
  <c r="F11" i="4"/>
  <c r="F10" i="4"/>
  <c r="U10" i="4" s="1"/>
  <c r="F9" i="4"/>
  <c r="U9" i="4" s="1"/>
  <c r="F8" i="4"/>
  <c r="U8" i="4" s="1"/>
  <c r="F7" i="4"/>
  <c r="U7" i="4" s="1"/>
  <c r="F6" i="4"/>
  <c r="U6" i="4" s="1"/>
  <c r="F5" i="4"/>
  <c r="U5" i="4" s="1"/>
  <c r="F4" i="4"/>
  <c r="U4" i="4" s="1"/>
  <c r="F3" i="4"/>
  <c r="U3" i="4" s="1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U42" i="4" l="1"/>
  <c r="W105" i="3"/>
</calcChain>
</file>

<file path=xl/sharedStrings.xml><?xml version="1.0" encoding="utf-8"?>
<sst xmlns="http://schemas.openxmlformats.org/spreadsheetml/2006/main" count="1674" uniqueCount="261">
  <si>
    <t>Team #</t>
  </si>
  <si>
    <t>Team</t>
  </si>
  <si>
    <t>Captain</t>
  </si>
  <si>
    <t>Initials</t>
  </si>
  <si>
    <t>Golfer 1</t>
  </si>
  <si>
    <t>Golfer 2</t>
  </si>
  <si>
    <t>Golfer 3</t>
  </si>
  <si>
    <t>Golfer 4</t>
  </si>
  <si>
    <t>Golfer 5</t>
  </si>
  <si>
    <t>Golfer 6</t>
  </si>
  <si>
    <t>Golfer 7</t>
  </si>
  <si>
    <t>Golfer 8</t>
  </si>
  <si>
    <t>Robbie Donahoe</t>
  </si>
  <si>
    <t>RD</t>
  </si>
  <si>
    <t>Joaquin Niemann</t>
  </si>
  <si>
    <t>Ludvig Aberg</t>
  </si>
  <si>
    <t>Keegan Bradley</t>
  </si>
  <si>
    <t>Green Machine</t>
  </si>
  <si>
    <t>Laura Green</t>
  </si>
  <si>
    <t>LG</t>
  </si>
  <si>
    <t>Brooks Koepka</t>
  </si>
  <si>
    <t>Will Zalatoris</t>
  </si>
  <si>
    <t>Tony Finau</t>
  </si>
  <si>
    <t>Cameron Smith</t>
  </si>
  <si>
    <t>Cameron Young</t>
  </si>
  <si>
    <t>Max Homa</t>
  </si>
  <si>
    <t>No Player</t>
  </si>
  <si>
    <t>Xander Schauffele</t>
  </si>
  <si>
    <t>Sahith Theegala</t>
  </si>
  <si>
    <t>Patrick Reed</t>
  </si>
  <si>
    <t>Sergio Garcia</t>
  </si>
  <si>
    <t>Nick Taylor</t>
  </si>
  <si>
    <t>Viktor Hovland</t>
  </si>
  <si>
    <t>Justin Thomas</t>
  </si>
  <si>
    <t>Collin Morikawa</t>
  </si>
  <si>
    <t>Caroline Stone</t>
  </si>
  <si>
    <t>CS</t>
  </si>
  <si>
    <t>Hideki Matsuyama</t>
  </si>
  <si>
    <t>Corey Conners</t>
  </si>
  <si>
    <t>Tucker Donahoe</t>
  </si>
  <si>
    <t>TD</t>
  </si>
  <si>
    <t>Russell Henley</t>
  </si>
  <si>
    <t>Akshay Bhatia</t>
  </si>
  <si>
    <t>Rory McIlroy</t>
  </si>
  <si>
    <t>Patrick Cantlay</t>
  </si>
  <si>
    <t>Chris Floyd</t>
  </si>
  <si>
    <t>CF</t>
  </si>
  <si>
    <t>Bryson DeChambeau</t>
  </si>
  <si>
    <t>Jason Vaillancourt</t>
  </si>
  <si>
    <t>JV</t>
  </si>
  <si>
    <t>Jason Day</t>
  </si>
  <si>
    <t>Justin Rose</t>
  </si>
  <si>
    <t>Kim Arney</t>
  </si>
  <si>
    <t>KA</t>
  </si>
  <si>
    <t>Shane Lowry</t>
  </si>
  <si>
    <t>Brian Harman</t>
  </si>
  <si>
    <t>Jon Schreiber</t>
  </si>
  <si>
    <t>JS</t>
  </si>
  <si>
    <t>Tommy Fleetwood</t>
  </si>
  <si>
    <t>Rob Schoen</t>
  </si>
  <si>
    <t>RS</t>
  </si>
  <si>
    <t>Adam Scott</t>
  </si>
  <si>
    <t>Jacob Norris</t>
  </si>
  <si>
    <t>JN</t>
  </si>
  <si>
    <t>Phil Mickelson</t>
  </si>
  <si>
    <t>Matt LaPlant</t>
  </si>
  <si>
    <t>ML</t>
  </si>
  <si>
    <t>Mike Wands</t>
  </si>
  <si>
    <t>MW</t>
  </si>
  <si>
    <t>Jon Rahm</t>
  </si>
  <si>
    <t>Peter Sharpe</t>
  </si>
  <si>
    <t>PS</t>
  </si>
  <si>
    <t>Ryan Nemes</t>
  </si>
  <si>
    <t>RN</t>
  </si>
  <si>
    <t>Jordan Spieth</t>
  </si>
  <si>
    <t>Min Woo Lee</t>
  </si>
  <si>
    <t>Nick Dunlap</t>
  </si>
  <si>
    <t>Dan Riordan</t>
  </si>
  <si>
    <t>DR</t>
  </si>
  <si>
    <t>Paul Castergine</t>
  </si>
  <si>
    <t>Brett Goldstein</t>
  </si>
  <si>
    <t>BG</t>
  </si>
  <si>
    <t>Dennis Follmer</t>
  </si>
  <si>
    <t>DF</t>
  </si>
  <si>
    <t>Dan Lahrman</t>
  </si>
  <si>
    <t>DL</t>
  </si>
  <si>
    <t>Jeff Silverman</t>
  </si>
  <si>
    <t>BM</t>
  </si>
  <si>
    <t>Bubba Watson</t>
  </si>
  <si>
    <t>Shep Perkins</t>
  </si>
  <si>
    <t>SP</t>
  </si>
  <si>
    <t>Hello Friends</t>
  </si>
  <si>
    <t>Norm Boucher</t>
  </si>
  <si>
    <t>NB</t>
  </si>
  <si>
    <t>Sepp Straka</t>
  </si>
  <si>
    <t>Nick Hooten</t>
  </si>
  <si>
    <t>NH</t>
  </si>
  <si>
    <t>Stephan Jaeger</t>
  </si>
  <si>
    <t>Bill Kohli</t>
  </si>
  <si>
    <t>BK</t>
  </si>
  <si>
    <t>JF</t>
  </si>
  <si>
    <t>Often wrong but never in doubt</t>
  </si>
  <si>
    <t>Scott Sipple</t>
  </si>
  <si>
    <t>SS</t>
  </si>
  <si>
    <t>Just when I thought I was out, they pull me back in</t>
  </si>
  <si>
    <t>PC</t>
  </si>
  <si>
    <t>Subpar Effort</t>
  </si>
  <si>
    <t>Thad Williams</t>
  </si>
  <si>
    <t>TW</t>
  </si>
  <si>
    <t>Minnesota Miracle</t>
  </si>
  <si>
    <t>Play the fade</t>
  </si>
  <si>
    <t>Fire Nico</t>
  </si>
  <si>
    <t>Gold Jacket, Green Jacket…</t>
  </si>
  <si>
    <t>LaPlant</t>
  </si>
  <si>
    <t>Henley and the Double Eagles</t>
  </si>
  <si>
    <t>Adrian Chan</t>
  </si>
  <si>
    <t>AC</t>
  </si>
  <si>
    <t>Kathryn Michalewicz</t>
  </si>
  <si>
    <t>KM</t>
  </si>
  <si>
    <t>The Long Irons</t>
  </si>
  <si>
    <t>Every day in Moving Day</t>
  </si>
  <si>
    <t>James Fetch</t>
  </si>
  <si>
    <t>Lafferty, Daniel</t>
  </si>
  <si>
    <t>Brad McLaughlin</t>
  </si>
  <si>
    <t>Five Dollars Guaranteed</t>
  </si>
  <si>
    <t>District Five</t>
  </si>
  <si>
    <t>Ludvig Levered 2x Daily</t>
  </si>
  <si>
    <t>All in on Collin</t>
  </si>
  <si>
    <t>Munis never sleep</t>
  </si>
  <si>
    <t>Paul Drury</t>
  </si>
  <si>
    <t>PD</t>
  </si>
  <si>
    <t>Kangaroo Took My Ball</t>
  </si>
  <si>
    <t>ZWill #1</t>
  </si>
  <si>
    <t>ZWill #2</t>
  </si>
  <si>
    <t>Zach Williams</t>
  </si>
  <si>
    <t>ZW</t>
  </si>
  <si>
    <t>WZ</t>
  </si>
  <si>
    <t>Looks good on you though!</t>
  </si>
  <si>
    <t>Scattershot</t>
  </si>
  <si>
    <t>TheProperLuncher</t>
  </si>
  <si>
    <t>TheProperLuncher2</t>
  </si>
  <si>
    <t>Charles Ouellett</t>
  </si>
  <si>
    <t>CO</t>
  </si>
  <si>
    <t>OC</t>
  </si>
  <si>
    <t>Let Him Cook</t>
  </si>
  <si>
    <t>The Tremendous Slouches</t>
  </si>
  <si>
    <t>I Need A Pain Sponge</t>
  </si>
  <si>
    <t>Saving Silverman</t>
  </si>
  <si>
    <t>Mo Knows Golf</t>
  </si>
  <si>
    <t>MullinsDoubles</t>
  </si>
  <si>
    <t>Andy Mullins</t>
  </si>
  <si>
    <t>AM</t>
  </si>
  <si>
    <t>Dilly Dilly</t>
  </si>
  <si>
    <t>O.B.</t>
  </si>
  <si>
    <t>Tom Nelson</t>
  </si>
  <si>
    <t>TN</t>
  </si>
  <si>
    <t>Brian Kelley</t>
  </si>
  <si>
    <t>Jeff Aaron</t>
  </si>
  <si>
    <t>JA</t>
  </si>
  <si>
    <t>Ty Webb's illegitimate stepchild</t>
  </si>
  <si>
    <t>Fairway Ninjas</t>
  </si>
  <si>
    <t>The Chipinskis</t>
  </si>
  <si>
    <t>The Angry Leprechauns</t>
  </si>
  <si>
    <t>The Nemeinators</t>
  </si>
  <si>
    <t>Tyrrell Hatton</t>
  </si>
  <si>
    <t>Robert MacIntyre</t>
  </si>
  <si>
    <t>Daniel Berger</t>
  </si>
  <si>
    <t>J. J. Spaun</t>
  </si>
  <si>
    <t>Billy Horschel</t>
  </si>
  <si>
    <t>Byeong Hun An</t>
  </si>
  <si>
    <t>Maverick McNealy</t>
  </si>
  <si>
    <t>Lucas Glover</t>
  </si>
  <si>
    <t>Nicolai Højgaard</t>
  </si>
  <si>
    <t>Harris English</t>
  </si>
  <si>
    <t>Laurie Canter</t>
  </si>
  <si>
    <t>Max Greyserman</t>
  </si>
  <si>
    <t>Tom Hoge</t>
  </si>
  <si>
    <t>Jhonattan Vegas</t>
  </si>
  <si>
    <t>Matthieu Pavon</t>
  </si>
  <si>
    <t>Brian Campbell</t>
  </si>
  <si>
    <t>Zach Johnson</t>
  </si>
  <si>
    <t>POS</t>
  </si>
  <si>
    <t>PLAYER</t>
  </si>
  <si>
    <t>SCORE</t>
  </si>
  <si>
    <t>TODAY</t>
  </si>
  <si>
    <t>THRU</t>
  </si>
  <si>
    <t>R1</t>
  </si>
  <si>
    <t>R2</t>
  </si>
  <si>
    <t>R3</t>
  </si>
  <si>
    <t>R4</t>
  </si>
  <si>
    <t>TOT</t>
  </si>
  <si>
    <t>--</t>
  </si>
  <si>
    <t>T2</t>
  </si>
  <si>
    <t>F</t>
  </si>
  <si>
    <t>Scottie Scheffler</t>
  </si>
  <si>
    <t>Aaron Rai</t>
  </si>
  <si>
    <t>Denny McCarthy</t>
  </si>
  <si>
    <t>Matt Fitzpatrick</t>
  </si>
  <si>
    <t>Michael Kim</t>
  </si>
  <si>
    <t>Davis Thompson</t>
  </si>
  <si>
    <t>Fred Couples</t>
  </si>
  <si>
    <t>Matt McCarty</t>
  </si>
  <si>
    <t>Rasmus Højgaard</t>
  </si>
  <si>
    <t>E</t>
  </si>
  <si>
    <t>Joaquín Niemann</t>
  </si>
  <si>
    <t>Rafael Campos</t>
  </si>
  <si>
    <t>Adam Schenk</t>
  </si>
  <si>
    <t>Charl Schwartzel</t>
  </si>
  <si>
    <t>Sungjae Im</t>
  </si>
  <si>
    <t>Ludvig Åberg</t>
  </si>
  <si>
    <t>Wyndham Clark</t>
  </si>
  <si>
    <t>Davis Riley</t>
  </si>
  <si>
    <t>Nicolas Echavarria</t>
  </si>
  <si>
    <t>Tom Kim</t>
  </si>
  <si>
    <t>Cam Davis</t>
  </si>
  <si>
    <t>Justin Hastings (a)</t>
  </si>
  <si>
    <t>Sam Burns</t>
  </si>
  <si>
    <t>Bernhard Langer</t>
  </si>
  <si>
    <t>J.T. Poston</t>
  </si>
  <si>
    <t>Hiroshi Tai (a)</t>
  </si>
  <si>
    <t>J.J. Spaun</t>
  </si>
  <si>
    <t>Mike Weir</t>
  </si>
  <si>
    <t>Chris Kirk</t>
  </si>
  <si>
    <t>Danny Willett</t>
  </si>
  <si>
    <t>Austin Eckroat</t>
  </si>
  <si>
    <t>Evan Beck (a)</t>
  </si>
  <si>
    <t>Dustin Johnson</t>
  </si>
  <si>
    <t>Kevin Yu</t>
  </si>
  <si>
    <t>Joe Highsmith</t>
  </si>
  <si>
    <t>Jose Luis Ballester (a)</t>
  </si>
  <si>
    <t>Ángel Cabrera</t>
  </si>
  <si>
    <t>José María Olazábal</t>
  </si>
  <si>
    <t>Christiaan Bezuidenhout</t>
  </si>
  <si>
    <t>T87</t>
  </si>
  <si>
    <t>Taylor Pendrith</t>
  </si>
  <si>
    <t>T90</t>
  </si>
  <si>
    <t>Thomas Detry</t>
  </si>
  <si>
    <t>Patton Kizzire</t>
  </si>
  <si>
    <t>Noah Kent (a)</t>
  </si>
  <si>
    <t>Thriston Lawrence</t>
  </si>
  <si>
    <t>Code</t>
  </si>
  <si>
    <t>Golfer</t>
  </si>
  <si>
    <t>Cameron Davis</t>
  </si>
  <si>
    <t>Matt Mccarty</t>
  </si>
  <si>
    <t>Angel Cabrera</t>
  </si>
  <si>
    <t>Evan Beck</t>
  </si>
  <si>
    <t>Hiroshi Tai</t>
  </si>
  <si>
    <t>Justin Hastings</t>
  </si>
  <si>
    <t>Noah Kent</t>
  </si>
  <si>
    <t>Jose Maria Olazábal</t>
  </si>
  <si>
    <t>Jose Luis Ballester</t>
  </si>
  <si>
    <t>T5</t>
  </si>
  <si>
    <t>T7</t>
  </si>
  <si>
    <t>T11</t>
  </si>
  <si>
    <t>T27</t>
  </si>
  <si>
    <t>T38</t>
  </si>
  <si>
    <t>T51</t>
  </si>
  <si>
    <t>T63</t>
  </si>
  <si>
    <t>T73</t>
  </si>
  <si>
    <t>T81</t>
  </si>
  <si>
    <t>Every day is Moving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</si>
</sst>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9C5700"/>
      <name val="Calibri"/>
      <family val="2"/>
      <scheme val="minor"/>
    </font>
    <font>
      <b/>
      <u/>
      <sz val="11"/>
      <color rgb="FF48494A"/>
      <name val="Arial"/>
      <family val="2"/>
    </font>
    <font>
      <sz val="12"/>
      <color rgb="FF6C6D6F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Daytona"/>
    </font>
    <font>
      <sz val="12"/>
      <color theme="1"/>
      <name val="Daytona"/>
    </font>
    <font>
      <sz val="12"/>
      <color rgb="FF000000"/>
      <name val="Daytona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2" applyAlignment="1">
      <alignment horizontal="center"/>
    </xf>
    <xf numFmtId="0" fontId="0" fillId="0" borderId="0" xfId="0" applyAlignment="1">
      <alignment horizontal="left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vertical="center" wrapText="1"/>
    </xf>
    <xf numFmtId="0" fontId="9" fillId="6" borderId="0" xfId="0" applyFont="1" applyFill="1"/>
    <xf numFmtId="0" fontId="4" fillId="7" borderId="0" xfId="1" applyFill="1"/>
    <xf numFmtId="0" fontId="0" fillId="8" borderId="0" xfId="0" applyFill="1"/>
    <xf numFmtId="0" fontId="8" fillId="8" borderId="0" xfId="0" applyFont="1" applyFill="1"/>
    <xf numFmtId="0" fontId="10" fillId="8" borderId="0" xfId="0" applyFont="1" applyFill="1" applyAlignment="1">
      <alignment vertical="center" wrapText="1"/>
    </xf>
    <xf numFmtId="0" fontId="9" fillId="8" borderId="0" xfId="0" applyFont="1" applyFill="1"/>
    <xf numFmtId="1" fontId="2" fillId="3" borderId="4" xfId="0" applyNumberFormat="1" applyFont="1" applyFill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2" name="Picture 1" descr="England">
          <a:extLst>
            <a:ext uri="{FF2B5EF4-FFF2-40B4-BE49-F238E27FC236}">
              <a16:creationId xmlns:a16="http://schemas.microsoft.com/office/drawing/2014/main" id="{F41E1963-BAD2-A925-8D9F-8A405C8F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1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3" name="Picture 2" descr="Canada">
          <a:extLst>
            <a:ext uri="{FF2B5EF4-FFF2-40B4-BE49-F238E27FC236}">
              <a16:creationId xmlns:a16="http://schemas.microsoft.com/office/drawing/2014/main" id="{2FEC4EAD-7AAC-841A-6AA5-F4CB1E80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1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4" name="Picture 3" descr="United States">
          <a:extLst>
            <a:ext uri="{FF2B5EF4-FFF2-40B4-BE49-F238E27FC236}">
              <a16:creationId xmlns:a16="http://schemas.microsoft.com/office/drawing/2014/main" id="{418BF8F0-1E35-E638-7F9F-6A7AF0AF3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2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5" name="Picture 4" descr="England">
          <a:extLst>
            <a:ext uri="{FF2B5EF4-FFF2-40B4-BE49-F238E27FC236}">
              <a16:creationId xmlns:a16="http://schemas.microsoft.com/office/drawing/2014/main" id="{B59BB1A9-2C21-79E8-55C8-5F78C648E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2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6" name="Picture 5" descr="Northern Ireland">
          <a:extLst>
            <a:ext uri="{FF2B5EF4-FFF2-40B4-BE49-F238E27FC236}">
              <a16:creationId xmlns:a16="http://schemas.microsoft.com/office/drawing/2014/main" id="{6E912AEF-26DA-CFFA-96D1-EA4D1D6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7" name="Picture 6" descr="England">
          <a:extLst>
            <a:ext uri="{FF2B5EF4-FFF2-40B4-BE49-F238E27FC236}">
              <a16:creationId xmlns:a16="http://schemas.microsoft.com/office/drawing/2014/main" id="{46AF90EF-8E82-E8E5-09D7-217336A8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3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8" name="Picture 7" descr="United States">
          <a:extLst>
            <a:ext uri="{FF2B5EF4-FFF2-40B4-BE49-F238E27FC236}">
              <a16:creationId xmlns:a16="http://schemas.microsoft.com/office/drawing/2014/main" id="{F0427592-0600-B1F5-2A8D-483EFF57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93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9" name="Picture 8" descr="Australia">
          <a:extLst>
            <a:ext uri="{FF2B5EF4-FFF2-40B4-BE49-F238E27FC236}">
              <a16:creationId xmlns:a16="http://schemas.microsoft.com/office/drawing/2014/main" id="{B8226E49-6E69-A931-73CC-5EBF3CF9D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13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10" name="Picture 9" descr="United States">
          <a:extLst>
            <a:ext uri="{FF2B5EF4-FFF2-40B4-BE49-F238E27FC236}">
              <a16:creationId xmlns:a16="http://schemas.microsoft.com/office/drawing/2014/main" id="{1C714C47-5A36-687F-6B9A-FFBDC4BA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34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11" name="Picture 10" descr="England">
          <a:extLst>
            <a:ext uri="{FF2B5EF4-FFF2-40B4-BE49-F238E27FC236}">
              <a16:creationId xmlns:a16="http://schemas.microsoft.com/office/drawing/2014/main" id="{0876A5DC-8904-68A6-8360-0B0A2729B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12" name="Picture 11" descr="Japan">
          <a:extLst>
            <a:ext uri="{FF2B5EF4-FFF2-40B4-BE49-F238E27FC236}">
              <a16:creationId xmlns:a16="http://schemas.microsoft.com/office/drawing/2014/main" id="{6C09D80A-6F4E-2286-B658-3DF5E123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4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13" name="Picture 12" descr="United States">
          <a:extLst>
            <a:ext uri="{FF2B5EF4-FFF2-40B4-BE49-F238E27FC236}">
              <a16:creationId xmlns:a16="http://schemas.microsoft.com/office/drawing/2014/main" id="{22D180A8-7381-0C11-7FA5-AFFEC2E93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94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14" name="Picture 13" descr="United States">
          <a:extLst>
            <a:ext uri="{FF2B5EF4-FFF2-40B4-BE49-F238E27FC236}">
              <a16:creationId xmlns:a16="http://schemas.microsoft.com/office/drawing/2014/main" id="{D1C1A975-C519-95E4-DAA4-3B6FC195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15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15" name="Picture 14" descr="Australia">
          <a:extLst>
            <a:ext uri="{FF2B5EF4-FFF2-40B4-BE49-F238E27FC236}">
              <a16:creationId xmlns:a16="http://schemas.microsoft.com/office/drawing/2014/main" id="{396BF7E2-B884-10E9-BB92-152885C4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5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16" name="Picture 15" descr="United States">
          <a:extLst>
            <a:ext uri="{FF2B5EF4-FFF2-40B4-BE49-F238E27FC236}">
              <a16:creationId xmlns:a16="http://schemas.microsoft.com/office/drawing/2014/main" id="{D936BC8B-2312-CF4E-DDB6-3945F642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17" name="Picture 16" descr="United States">
          <a:extLst>
            <a:ext uri="{FF2B5EF4-FFF2-40B4-BE49-F238E27FC236}">
              <a16:creationId xmlns:a16="http://schemas.microsoft.com/office/drawing/2014/main" id="{1445C7A6-5D18-46F3-1D09-0CE14592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76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18" name="Picture 17" descr="United States">
          <a:extLst>
            <a:ext uri="{FF2B5EF4-FFF2-40B4-BE49-F238E27FC236}">
              <a16:creationId xmlns:a16="http://schemas.microsoft.com/office/drawing/2014/main" id="{4892410F-3E49-38B8-0710-88942599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96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19" name="Picture 18" descr="United States">
          <a:extLst>
            <a:ext uri="{FF2B5EF4-FFF2-40B4-BE49-F238E27FC236}">
              <a16:creationId xmlns:a16="http://schemas.microsoft.com/office/drawing/2014/main" id="{37105635-8980-E41A-D8F3-F201E166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16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20" name="Picture 19" descr="Australia">
          <a:extLst>
            <a:ext uri="{FF2B5EF4-FFF2-40B4-BE49-F238E27FC236}">
              <a16:creationId xmlns:a16="http://schemas.microsoft.com/office/drawing/2014/main" id="{9CBD6BA2-4AE7-9671-2C1C-43E7B945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7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21" name="Picture 20" descr="United States">
          <a:extLst>
            <a:ext uri="{FF2B5EF4-FFF2-40B4-BE49-F238E27FC236}">
              <a16:creationId xmlns:a16="http://schemas.microsoft.com/office/drawing/2014/main" id="{E94B8F87-C2EC-B1A1-1E79-05022B09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22" name="Picture 21" descr="United States">
          <a:extLst>
            <a:ext uri="{FF2B5EF4-FFF2-40B4-BE49-F238E27FC236}">
              <a16:creationId xmlns:a16="http://schemas.microsoft.com/office/drawing/2014/main" id="{1D18DE6B-4577-C0FE-017D-C82D02BD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77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23" name="Picture 22" descr="United States">
          <a:extLst>
            <a:ext uri="{FF2B5EF4-FFF2-40B4-BE49-F238E27FC236}">
              <a16:creationId xmlns:a16="http://schemas.microsoft.com/office/drawing/2014/main" id="{CAC50AB1-04FE-8E00-9693-17BF8112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98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24" name="Picture 23" descr="United States">
          <a:extLst>
            <a:ext uri="{FF2B5EF4-FFF2-40B4-BE49-F238E27FC236}">
              <a16:creationId xmlns:a16="http://schemas.microsoft.com/office/drawing/2014/main" id="{1A6A0568-6308-1C14-DBA0-0CCD623A5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18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25" name="Picture 24" descr="United States">
          <a:extLst>
            <a:ext uri="{FF2B5EF4-FFF2-40B4-BE49-F238E27FC236}">
              <a16:creationId xmlns:a16="http://schemas.microsoft.com/office/drawing/2014/main" id="{40EFB0F3-5D62-F983-00A9-DF4F33A5A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8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26" name="Picture 25" descr="Denmark">
          <a:extLst>
            <a:ext uri="{FF2B5EF4-FFF2-40B4-BE49-F238E27FC236}">
              <a16:creationId xmlns:a16="http://schemas.microsoft.com/office/drawing/2014/main" id="{BB5847F3-70A1-B15A-4FEF-09095678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27" name="Picture 26" descr="Ireland">
          <a:extLst>
            <a:ext uri="{FF2B5EF4-FFF2-40B4-BE49-F238E27FC236}">
              <a16:creationId xmlns:a16="http://schemas.microsoft.com/office/drawing/2014/main" id="{7C91860A-F9EA-5F92-2A26-13084846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79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28" name="Picture 27" descr="United States">
          <a:extLst>
            <a:ext uri="{FF2B5EF4-FFF2-40B4-BE49-F238E27FC236}">
              <a16:creationId xmlns:a16="http://schemas.microsoft.com/office/drawing/2014/main" id="{DAC4C0B8-415B-6655-02E4-FAC26F0B4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99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29" name="Picture 28" descr="United States">
          <a:extLst>
            <a:ext uri="{FF2B5EF4-FFF2-40B4-BE49-F238E27FC236}">
              <a16:creationId xmlns:a16="http://schemas.microsoft.com/office/drawing/2014/main" id="{60448CC6-0D56-A964-7462-97AD1C49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20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30" name="Picture 29" descr="United States">
          <a:extLst>
            <a:ext uri="{FF2B5EF4-FFF2-40B4-BE49-F238E27FC236}">
              <a16:creationId xmlns:a16="http://schemas.microsoft.com/office/drawing/2014/main" id="{707FD4E5-2CEF-FE11-85D9-2FE5D929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40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31" name="Picture 30" descr="Germany">
          <a:extLst>
            <a:ext uri="{FF2B5EF4-FFF2-40B4-BE49-F238E27FC236}">
              <a16:creationId xmlns:a16="http://schemas.microsoft.com/office/drawing/2014/main" id="{7BE21623-77B7-18D7-DD92-9845EE49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32" name="Picture 31" descr="United States">
          <a:extLst>
            <a:ext uri="{FF2B5EF4-FFF2-40B4-BE49-F238E27FC236}">
              <a16:creationId xmlns:a16="http://schemas.microsoft.com/office/drawing/2014/main" id="{60C6F166-D50C-23DD-964C-102DF49F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1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33" name="Picture 32" descr="Chile">
          <a:extLst>
            <a:ext uri="{FF2B5EF4-FFF2-40B4-BE49-F238E27FC236}">
              <a16:creationId xmlns:a16="http://schemas.microsoft.com/office/drawing/2014/main" id="{F4CAEAB2-88D9-DD1B-0261-653682EC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01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34" name="Picture 33" descr="United States">
          <a:extLst>
            <a:ext uri="{FF2B5EF4-FFF2-40B4-BE49-F238E27FC236}">
              <a16:creationId xmlns:a16="http://schemas.microsoft.com/office/drawing/2014/main" id="{C6DA1D81-8119-19DD-0ED9-7D88073E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21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35" name="Picture 34" descr="Puerto Rico">
          <a:extLst>
            <a:ext uri="{FF2B5EF4-FFF2-40B4-BE49-F238E27FC236}">
              <a16:creationId xmlns:a16="http://schemas.microsoft.com/office/drawing/2014/main" id="{9130620F-68B8-34F4-B1BF-B5A48C84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42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36" name="Picture 35" descr="United States">
          <a:extLst>
            <a:ext uri="{FF2B5EF4-FFF2-40B4-BE49-F238E27FC236}">
              <a16:creationId xmlns:a16="http://schemas.microsoft.com/office/drawing/2014/main" id="{E8CC540E-9DE5-A706-4E6D-212C1C29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37" name="Picture 36" descr="United States">
          <a:extLst>
            <a:ext uri="{FF2B5EF4-FFF2-40B4-BE49-F238E27FC236}">
              <a16:creationId xmlns:a16="http://schemas.microsoft.com/office/drawing/2014/main" id="{06E7BC83-9574-AF9B-9321-13C5F7B7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2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38" name="Picture 37" descr="United States">
          <a:extLst>
            <a:ext uri="{FF2B5EF4-FFF2-40B4-BE49-F238E27FC236}">
              <a16:creationId xmlns:a16="http://schemas.microsoft.com/office/drawing/2014/main" id="{BE8B751F-9CF1-B1F5-9EC3-C960BEAD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02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39" name="Picture 38" descr="South Africa">
          <a:extLst>
            <a:ext uri="{FF2B5EF4-FFF2-40B4-BE49-F238E27FC236}">
              <a16:creationId xmlns:a16="http://schemas.microsoft.com/office/drawing/2014/main" id="{5C16F9B8-4E14-CD7F-1FFD-89B1D3C7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23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40" name="Picture 39" descr="South Korea">
          <a:extLst>
            <a:ext uri="{FF2B5EF4-FFF2-40B4-BE49-F238E27FC236}">
              <a16:creationId xmlns:a16="http://schemas.microsoft.com/office/drawing/2014/main" id="{E1EAC8A3-3FF3-0969-950D-C2B0AB45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43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41" name="Picture 40" descr="Sweden">
          <a:extLst>
            <a:ext uri="{FF2B5EF4-FFF2-40B4-BE49-F238E27FC236}">
              <a16:creationId xmlns:a16="http://schemas.microsoft.com/office/drawing/2014/main" id="{CE1E57B1-11B7-3F18-BCD0-A4438B9C5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42" name="Picture 41" descr="United States">
          <a:extLst>
            <a:ext uri="{FF2B5EF4-FFF2-40B4-BE49-F238E27FC236}">
              <a16:creationId xmlns:a16="http://schemas.microsoft.com/office/drawing/2014/main" id="{9F05BDEE-197D-3A21-5C0C-963006D3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4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43" name="Picture 42" descr="United States">
          <a:extLst>
            <a:ext uri="{FF2B5EF4-FFF2-40B4-BE49-F238E27FC236}">
              <a16:creationId xmlns:a16="http://schemas.microsoft.com/office/drawing/2014/main" id="{BF588525-1843-5C9A-71CA-E5B64323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04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44" name="Picture 43" descr="United States">
          <a:extLst>
            <a:ext uri="{FF2B5EF4-FFF2-40B4-BE49-F238E27FC236}">
              <a16:creationId xmlns:a16="http://schemas.microsoft.com/office/drawing/2014/main" id="{9B88CFAF-AE8E-3B95-E93E-18FCF492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24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45" name="Picture 44" descr="Colombia">
          <a:extLst>
            <a:ext uri="{FF2B5EF4-FFF2-40B4-BE49-F238E27FC236}">
              <a16:creationId xmlns:a16="http://schemas.microsoft.com/office/drawing/2014/main" id="{25E187A0-2155-14F4-1E13-B4336C348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5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46" name="Picture 45" descr="United States">
          <a:extLst>
            <a:ext uri="{FF2B5EF4-FFF2-40B4-BE49-F238E27FC236}">
              <a16:creationId xmlns:a16="http://schemas.microsoft.com/office/drawing/2014/main" id="{ED4DDE65-5522-D97A-4CBB-575541C9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47" name="Picture 46" descr="United States">
          <a:extLst>
            <a:ext uri="{FF2B5EF4-FFF2-40B4-BE49-F238E27FC236}">
              <a16:creationId xmlns:a16="http://schemas.microsoft.com/office/drawing/2014/main" id="{ABB0D601-D6C6-55EC-2689-496B2B53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85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48" name="Picture 47" descr="South Korea">
          <a:extLst>
            <a:ext uri="{FF2B5EF4-FFF2-40B4-BE49-F238E27FC236}">
              <a16:creationId xmlns:a16="http://schemas.microsoft.com/office/drawing/2014/main" id="{583D1C2C-5244-D450-8AB0-17BFE975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06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49" name="Picture 48" descr="Australia">
          <a:extLst>
            <a:ext uri="{FF2B5EF4-FFF2-40B4-BE49-F238E27FC236}">
              <a16:creationId xmlns:a16="http://schemas.microsoft.com/office/drawing/2014/main" id="{6244353D-6400-A724-95D5-487B34DC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26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50" name="Picture 49" descr="Cayman Islands">
          <a:extLst>
            <a:ext uri="{FF2B5EF4-FFF2-40B4-BE49-F238E27FC236}">
              <a16:creationId xmlns:a16="http://schemas.microsoft.com/office/drawing/2014/main" id="{C21C1E80-E185-9AB9-1195-7AFBF43D3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6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51" name="Picture 50" descr="Spain">
          <a:extLst>
            <a:ext uri="{FF2B5EF4-FFF2-40B4-BE49-F238E27FC236}">
              <a16:creationId xmlns:a16="http://schemas.microsoft.com/office/drawing/2014/main" id="{160AA993-E8A3-B9EB-09CA-DE34EE31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52" name="Picture 51" descr="United States">
          <a:extLst>
            <a:ext uri="{FF2B5EF4-FFF2-40B4-BE49-F238E27FC236}">
              <a16:creationId xmlns:a16="http://schemas.microsoft.com/office/drawing/2014/main" id="{879577AF-E08D-4DB6-1EB9-6C36E19B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87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53" name="Picture 52" descr="Austria">
          <a:extLst>
            <a:ext uri="{FF2B5EF4-FFF2-40B4-BE49-F238E27FC236}">
              <a16:creationId xmlns:a16="http://schemas.microsoft.com/office/drawing/2014/main" id="{DAFE9CDB-EE76-82F8-01F0-5FB2DD7CB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07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54" name="Picture 53" descr="United States">
          <a:extLst>
            <a:ext uri="{FF2B5EF4-FFF2-40B4-BE49-F238E27FC236}">
              <a16:creationId xmlns:a16="http://schemas.microsoft.com/office/drawing/2014/main" id="{115D3287-6FA9-7DE6-5B46-FEE00601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28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508000</xdr:colOff>
      <xdr:row>64</xdr:row>
      <xdr:rowOff>0</xdr:rowOff>
    </xdr:to>
    <xdr:pic>
      <xdr:nvPicPr>
        <xdr:cNvPr id="55" name="Picture 54" descr="Germany">
          <a:extLst>
            <a:ext uri="{FF2B5EF4-FFF2-40B4-BE49-F238E27FC236}">
              <a16:creationId xmlns:a16="http://schemas.microsoft.com/office/drawing/2014/main" id="{D4EA7523-E723-3387-5292-8ED62F08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8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56" name="Picture 55" descr="United States">
          <a:extLst>
            <a:ext uri="{FF2B5EF4-FFF2-40B4-BE49-F238E27FC236}">
              <a16:creationId xmlns:a16="http://schemas.microsoft.com/office/drawing/2014/main" id="{6667B2DA-111E-DB23-0711-F7FBAECE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57" name="Picture 56" descr="United States">
          <a:extLst>
            <a:ext uri="{FF2B5EF4-FFF2-40B4-BE49-F238E27FC236}">
              <a16:creationId xmlns:a16="http://schemas.microsoft.com/office/drawing/2014/main" id="{A39596C1-489D-0148-6C32-3754C750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8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58" name="Picture 57" descr="South Korea">
          <a:extLst>
            <a:ext uri="{FF2B5EF4-FFF2-40B4-BE49-F238E27FC236}">
              <a16:creationId xmlns:a16="http://schemas.microsoft.com/office/drawing/2014/main" id="{F7B01545-7892-E7C5-F5C4-253725BF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09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59" name="Picture 58" descr="United States">
          <a:extLst>
            <a:ext uri="{FF2B5EF4-FFF2-40B4-BE49-F238E27FC236}">
              <a16:creationId xmlns:a16="http://schemas.microsoft.com/office/drawing/2014/main" id="{0F67714E-0898-4444-1ED5-7ED8EF97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29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60" name="Picture 59" descr="Singapore">
          <a:extLst>
            <a:ext uri="{FF2B5EF4-FFF2-40B4-BE49-F238E27FC236}">
              <a16:creationId xmlns:a16="http://schemas.microsoft.com/office/drawing/2014/main" id="{A88544FC-7A06-5BBC-A7B0-06F8C3F2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50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61" name="Picture 60" descr="United States">
          <a:extLst>
            <a:ext uri="{FF2B5EF4-FFF2-40B4-BE49-F238E27FC236}">
              <a16:creationId xmlns:a16="http://schemas.microsoft.com/office/drawing/2014/main" id="{C567F55F-E5DB-ED0C-21FA-815AF152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62" name="Picture 61" descr="United States">
          <a:extLst>
            <a:ext uri="{FF2B5EF4-FFF2-40B4-BE49-F238E27FC236}">
              <a16:creationId xmlns:a16="http://schemas.microsoft.com/office/drawing/2014/main" id="{D97DF0D2-5FDF-7B03-B82C-CC74F74E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0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63" name="Picture 62" descr="United States">
          <a:extLst>
            <a:ext uri="{FF2B5EF4-FFF2-40B4-BE49-F238E27FC236}">
              <a16:creationId xmlns:a16="http://schemas.microsoft.com/office/drawing/2014/main" id="{938B2B3A-42FA-53E0-F56B-C25D1CF5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10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72</xdr:row>
      <xdr:rowOff>254000</xdr:rowOff>
    </xdr:to>
    <xdr:pic>
      <xdr:nvPicPr>
        <xdr:cNvPr id="64" name="Picture 63" descr="Australia">
          <a:extLst>
            <a:ext uri="{FF2B5EF4-FFF2-40B4-BE49-F238E27FC236}">
              <a16:creationId xmlns:a16="http://schemas.microsoft.com/office/drawing/2014/main" id="{B4617F4E-5568-A401-F88C-0E2A2478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31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73</xdr:row>
      <xdr:rowOff>0</xdr:rowOff>
    </xdr:to>
    <xdr:pic>
      <xdr:nvPicPr>
        <xdr:cNvPr id="65" name="Picture 64" descr="Norway">
          <a:extLst>
            <a:ext uri="{FF2B5EF4-FFF2-40B4-BE49-F238E27FC236}">
              <a16:creationId xmlns:a16="http://schemas.microsoft.com/office/drawing/2014/main" id="{DEDD38A0-7A16-00BF-C4F2-636E9611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51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66" name="Picture 65" descr="England">
          <a:extLst>
            <a:ext uri="{FF2B5EF4-FFF2-40B4-BE49-F238E27FC236}">
              <a16:creationId xmlns:a16="http://schemas.microsoft.com/office/drawing/2014/main" id="{B9142EFD-7B64-A12B-7659-5F74F63B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67" name="Picture 66" descr="Spain">
          <a:extLst>
            <a:ext uri="{FF2B5EF4-FFF2-40B4-BE49-F238E27FC236}">
              <a16:creationId xmlns:a16="http://schemas.microsoft.com/office/drawing/2014/main" id="{9B3F9EC6-97F7-9396-9792-141140FD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2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68" name="Picture 67" descr="United States">
          <a:extLst>
            <a:ext uri="{FF2B5EF4-FFF2-40B4-BE49-F238E27FC236}">
              <a16:creationId xmlns:a16="http://schemas.microsoft.com/office/drawing/2014/main" id="{26F8C005-A420-3ABF-257F-1CCDBC6C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12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69" name="Picture 68" descr="Venezuela">
          <a:extLst>
            <a:ext uri="{FF2B5EF4-FFF2-40B4-BE49-F238E27FC236}">
              <a16:creationId xmlns:a16="http://schemas.microsoft.com/office/drawing/2014/main" id="{B89990D7-350B-DD0F-369F-C12C331B0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32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70" name="Picture 69" descr="Canada">
          <a:extLst>
            <a:ext uri="{FF2B5EF4-FFF2-40B4-BE49-F238E27FC236}">
              <a16:creationId xmlns:a16="http://schemas.microsoft.com/office/drawing/2014/main" id="{85C16AA5-C363-B150-CFF4-D3632638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53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71" name="Picture 70" descr="United States">
          <a:extLst>
            <a:ext uri="{FF2B5EF4-FFF2-40B4-BE49-F238E27FC236}">
              <a16:creationId xmlns:a16="http://schemas.microsoft.com/office/drawing/2014/main" id="{9A2B678F-4A24-AA5B-9154-F81E7C6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72" name="Picture 71" descr="England">
          <a:extLst>
            <a:ext uri="{FF2B5EF4-FFF2-40B4-BE49-F238E27FC236}">
              <a16:creationId xmlns:a16="http://schemas.microsoft.com/office/drawing/2014/main" id="{3DBAD238-4F87-791D-40C0-7BA88F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3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73" name="Picture 72" descr="Scotland">
          <a:extLst>
            <a:ext uri="{FF2B5EF4-FFF2-40B4-BE49-F238E27FC236}">
              <a16:creationId xmlns:a16="http://schemas.microsoft.com/office/drawing/2014/main" id="{11F95C19-7D6F-0132-C85E-536AF1314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14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74" name="Picture 73" descr="United States">
          <a:extLst>
            <a:ext uri="{FF2B5EF4-FFF2-40B4-BE49-F238E27FC236}">
              <a16:creationId xmlns:a16="http://schemas.microsoft.com/office/drawing/2014/main" id="{316F38ED-14CC-13D5-6FFD-70A1A1E0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34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75" name="Picture 74" descr="United States">
          <a:extLst>
            <a:ext uri="{FF2B5EF4-FFF2-40B4-BE49-F238E27FC236}">
              <a16:creationId xmlns:a16="http://schemas.microsoft.com/office/drawing/2014/main" id="{B54D31AB-C2AF-06B9-5659-D8971670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54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76" name="Picture 75" descr="United States">
          <a:extLst>
            <a:ext uri="{FF2B5EF4-FFF2-40B4-BE49-F238E27FC236}">
              <a16:creationId xmlns:a16="http://schemas.microsoft.com/office/drawing/2014/main" id="{FBB1745D-A219-494F-8024-708D9E36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77" name="Picture 76" descr="England">
          <a:extLst>
            <a:ext uri="{FF2B5EF4-FFF2-40B4-BE49-F238E27FC236}">
              <a16:creationId xmlns:a16="http://schemas.microsoft.com/office/drawing/2014/main" id="{5D3BE3EB-60E4-9305-2BBE-F6B91D958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95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78" name="Picture 77" descr="United States">
          <a:extLst>
            <a:ext uri="{FF2B5EF4-FFF2-40B4-BE49-F238E27FC236}">
              <a16:creationId xmlns:a16="http://schemas.microsoft.com/office/drawing/2014/main" id="{2FB9A53E-9A32-6DDA-3FC9-D241B9E6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15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79" name="Picture 78" descr="United States">
          <a:extLst>
            <a:ext uri="{FF2B5EF4-FFF2-40B4-BE49-F238E27FC236}">
              <a16:creationId xmlns:a16="http://schemas.microsoft.com/office/drawing/2014/main" id="{BE2DCAEA-3F8B-46FD-362A-404B4D89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36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80" name="Picture 79" descr="Canada">
          <a:extLst>
            <a:ext uri="{FF2B5EF4-FFF2-40B4-BE49-F238E27FC236}">
              <a16:creationId xmlns:a16="http://schemas.microsoft.com/office/drawing/2014/main" id="{DBF244E5-5D92-CE33-E118-E602505CB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6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81" name="Picture 80" descr="Denmark">
          <a:extLst>
            <a:ext uri="{FF2B5EF4-FFF2-40B4-BE49-F238E27FC236}">
              <a16:creationId xmlns:a16="http://schemas.microsoft.com/office/drawing/2014/main" id="{50AC3C9B-C12F-C9F8-9AEB-00BD1826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82" name="Picture 81" descr="Chinese Taipei">
          <a:extLst>
            <a:ext uri="{FF2B5EF4-FFF2-40B4-BE49-F238E27FC236}">
              <a16:creationId xmlns:a16="http://schemas.microsoft.com/office/drawing/2014/main" id="{06A2FA13-1772-7AC8-57F5-9CF1D837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97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83" name="Picture 82" descr="United States">
          <a:extLst>
            <a:ext uri="{FF2B5EF4-FFF2-40B4-BE49-F238E27FC236}">
              <a16:creationId xmlns:a16="http://schemas.microsoft.com/office/drawing/2014/main" id="{E7FC823B-E65F-92AE-5DC2-8BF5EF14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17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84" name="Picture 83" descr="Spain">
          <a:extLst>
            <a:ext uri="{FF2B5EF4-FFF2-40B4-BE49-F238E27FC236}">
              <a16:creationId xmlns:a16="http://schemas.microsoft.com/office/drawing/2014/main" id="{B48091EA-42B4-2B69-E10B-94B08C54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37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85" name="Picture 84" descr="Argentina">
          <a:extLst>
            <a:ext uri="{FF2B5EF4-FFF2-40B4-BE49-F238E27FC236}">
              <a16:creationId xmlns:a16="http://schemas.microsoft.com/office/drawing/2014/main" id="{6A523F09-280F-1574-D1B2-F2573B4D8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8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86" name="Picture 85" descr="Spain">
          <a:extLst>
            <a:ext uri="{FF2B5EF4-FFF2-40B4-BE49-F238E27FC236}">
              <a16:creationId xmlns:a16="http://schemas.microsoft.com/office/drawing/2014/main" id="{7934DA85-9555-8E0C-BD44-D9E04A69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87" name="Picture 86" descr="South Africa">
          <a:extLst>
            <a:ext uri="{FF2B5EF4-FFF2-40B4-BE49-F238E27FC236}">
              <a16:creationId xmlns:a16="http://schemas.microsoft.com/office/drawing/2014/main" id="{1C6843B3-80C3-B370-C0CF-9CD0B58A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98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88" name="Picture 87" descr="Canada">
          <a:extLst>
            <a:ext uri="{FF2B5EF4-FFF2-40B4-BE49-F238E27FC236}">
              <a16:creationId xmlns:a16="http://schemas.microsoft.com/office/drawing/2014/main" id="{B1E1BF00-D4EE-0EFF-29BF-7C73478E3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18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89" name="Picture 88" descr="United States">
          <a:extLst>
            <a:ext uri="{FF2B5EF4-FFF2-40B4-BE49-F238E27FC236}">
              <a16:creationId xmlns:a16="http://schemas.microsoft.com/office/drawing/2014/main" id="{21E5A13A-6553-D796-3847-CD229A04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39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90" name="Picture 89" descr="Belgium">
          <a:extLst>
            <a:ext uri="{FF2B5EF4-FFF2-40B4-BE49-F238E27FC236}">
              <a16:creationId xmlns:a16="http://schemas.microsoft.com/office/drawing/2014/main" id="{173DDBB0-7840-CF78-867F-33F2E42D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9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91" name="Picture 90" descr="United States">
          <a:extLst>
            <a:ext uri="{FF2B5EF4-FFF2-40B4-BE49-F238E27FC236}">
              <a16:creationId xmlns:a16="http://schemas.microsoft.com/office/drawing/2014/main" id="{E46FDCF7-A228-B33C-0506-E22F231BF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92" name="Picture 91" descr="United States">
          <a:extLst>
            <a:ext uri="{FF2B5EF4-FFF2-40B4-BE49-F238E27FC236}">
              <a16:creationId xmlns:a16="http://schemas.microsoft.com/office/drawing/2014/main" id="{03CA87EE-2BF2-C59D-17D9-21F71C7C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0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93" name="Picture 92" descr="United States">
          <a:extLst>
            <a:ext uri="{FF2B5EF4-FFF2-40B4-BE49-F238E27FC236}">
              <a16:creationId xmlns:a16="http://schemas.microsoft.com/office/drawing/2014/main" id="{A605F013-78DC-E30D-3B5A-09DB343E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20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94" name="Picture 93" descr="South Africa">
          <a:extLst>
            <a:ext uri="{FF2B5EF4-FFF2-40B4-BE49-F238E27FC236}">
              <a16:creationId xmlns:a16="http://schemas.microsoft.com/office/drawing/2014/main" id="{CD5FD596-FF52-E261-5B8E-47B55B34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40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95" name="Picture 94" descr="France">
          <a:extLst>
            <a:ext uri="{FF2B5EF4-FFF2-40B4-BE49-F238E27FC236}">
              <a16:creationId xmlns:a16="http://schemas.microsoft.com/office/drawing/2014/main" id="{9795BF12-6350-8839-F33F-0D5822A9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61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96" name="Picture 95" descr="United States">
          <a:extLst>
            <a:ext uri="{FF2B5EF4-FFF2-40B4-BE49-F238E27FC236}">
              <a16:creationId xmlns:a16="http://schemas.microsoft.com/office/drawing/2014/main" id="{E5A703D5-9223-086E-7AFA-610457CC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192" name="Picture 191" descr="England">
          <a:extLst>
            <a:ext uri="{FF2B5EF4-FFF2-40B4-BE49-F238E27FC236}">
              <a16:creationId xmlns:a16="http://schemas.microsoft.com/office/drawing/2014/main" id="{79337B55-6213-2F16-F535-CC50C941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193" name="Picture 192" descr="Canada">
          <a:extLst>
            <a:ext uri="{FF2B5EF4-FFF2-40B4-BE49-F238E27FC236}">
              <a16:creationId xmlns:a16="http://schemas.microsoft.com/office/drawing/2014/main" id="{343BD0E6-8431-794F-013E-5329F199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194" name="Picture 193" descr="United States">
          <a:extLst>
            <a:ext uri="{FF2B5EF4-FFF2-40B4-BE49-F238E27FC236}">
              <a16:creationId xmlns:a16="http://schemas.microsoft.com/office/drawing/2014/main" id="{144209A1-B57F-4EF7-0B50-35B186E4A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195" name="Picture 194" descr="Sweden">
          <a:extLst>
            <a:ext uri="{FF2B5EF4-FFF2-40B4-BE49-F238E27FC236}">
              <a16:creationId xmlns:a16="http://schemas.microsoft.com/office/drawing/2014/main" id="{4CF5B248-B144-1258-3390-C4FB759B9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196" name="Picture 195" descr="England">
          <a:extLst>
            <a:ext uri="{FF2B5EF4-FFF2-40B4-BE49-F238E27FC236}">
              <a16:creationId xmlns:a16="http://schemas.microsoft.com/office/drawing/2014/main" id="{AABFFA90-2931-F491-C5F0-0F7878AF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197" name="Picture 196" descr="United States">
          <a:extLst>
            <a:ext uri="{FF2B5EF4-FFF2-40B4-BE49-F238E27FC236}">
              <a16:creationId xmlns:a16="http://schemas.microsoft.com/office/drawing/2014/main" id="{9BB2FDA0-8B1B-CBF3-88FE-96C9EFF0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198" name="Picture 197" descr="England">
          <a:extLst>
            <a:ext uri="{FF2B5EF4-FFF2-40B4-BE49-F238E27FC236}">
              <a16:creationId xmlns:a16="http://schemas.microsoft.com/office/drawing/2014/main" id="{CABFFD3B-72A4-505A-D7D6-975765B2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199" name="Picture 198" descr="United States">
          <a:extLst>
            <a:ext uri="{FF2B5EF4-FFF2-40B4-BE49-F238E27FC236}">
              <a16:creationId xmlns:a16="http://schemas.microsoft.com/office/drawing/2014/main" id="{2555897D-E5DE-6358-915C-FB5F7A96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200" name="Picture 199" descr="Australia">
          <a:extLst>
            <a:ext uri="{FF2B5EF4-FFF2-40B4-BE49-F238E27FC236}">
              <a16:creationId xmlns:a16="http://schemas.microsoft.com/office/drawing/2014/main" id="{DA62D218-97BE-97A0-CA7E-FED174F3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201" name="Picture 200" descr="United States">
          <a:extLst>
            <a:ext uri="{FF2B5EF4-FFF2-40B4-BE49-F238E27FC236}">
              <a16:creationId xmlns:a16="http://schemas.microsoft.com/office/drawing/2014/main" id="{4A966A6B-49EE-5169-AEB5-8A56DF88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202" name="Picture 201" descr="United States">
          <a:extLst>
            <a:ext uri="{FF2B5EF4-FFF2-40B4-BE49-F238E27FC236}">
              <a16:creationId xmlns:a16="http://schemas.microsoft.com/office/drawing/2014/main" id="{458B7AF8-2EEF-80A4-7EDA-71F607FAF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203" name="Picture 202" descr="United States">
          <a:extLst>
            <a:ext uri="{FF2B5EF4-FFF2-40B4-BE49-F238E27FC236}">
              <a16:creationId xmlns:a16="http://schemas.microsoft.com/office/drawing/2014/main" id="{0965B667-3024-1F8F-0C05-8779CA49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204" name="Picture 203" descr="Australia">
          <a:extLst>
            <a:ext uri="{FF2B5EF4-FFF2-40B4-BE49-F238E27FC236}">
              <a16:creationId xmlns:a16="http://schemas.microsoft.com/office/drawing/2014/main" id="{F4F0A2AB-CC1B-2366-92DA-3DAC209B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205" name="Picture 204" descr="United States">
          <a:extLst>
            <a:ext uri="{FF2B5EF4-FFF2-40B4-BE49-F238E27FC236}">
              <a16:creationId xmlns:a16="http://schemas.microsoft.com/office/drawing/2014/main" id="{42BE7EBF-ECFA-D968-DCC1-620B3977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206" name="Picture 205" descr="United States">
          <a:extLst>
            <a:ext uri="{FF2B5EF4-FFF2-40B4-BE49-F238E27FC236}">
              <a16:creationId xmlns:a16="http://schemas.microsoft.com/office/drawing/2014/main" id="{C20862CE-51E7-3F32-FCCC-E31717FC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207" name="Picture 206" descr="United States">
          <a:extLst>
            <a:ext uri="{FF2B5EF4-FFF2-40B4-BE49-F238E27FC236}">
              <a16:creationId xmlns:a16="http://schemas.microsoft.com/office/drawing/2014/main" id="{53C22394-EA64-347A-DE4F-39F84EF9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208" name="Picture 207" descr="United States">
          <a:extLst>
            <a:ext uri="{FF2B5EF4-FFF2-40B4-BE49-F238E27FC236}">
              <a16:creationId xmlns:a16="http://schemas.microsoft.com/office/drawing/2014/main" id="{1645EB7A-E721-F753-C0D9-67EACA6E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209" name="Picture 208" descr="Australia">
          <a:extLst>
            <a:ext uri="{FF2B5EF4-FFF2-40B4-BE49-F238E27FC236}">
              <a16:creationId xmlns:a16="http://schemas.microsoft.com/office/drawing/2014/main" id="{EB033228-5620-7F3C-C17E-E0E61399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210" name="Picture 209" descr="United States">
          <a:extLst>
            <a:ext uri="{FF2B5EF4-FFF2-40B4-BE49-F238E27FC236}">
              <a16:creationId xmlns:a16="http://schemas.microsoft.com/office/drawing/2014/main" id="{BD4BF534-F682-479B-63D6-C2F4CD4E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211" name="Picture 210" descr="United States">
          <a:extLst>
            <a:ext uri="{FF2B5EF4-FFF2-40B4-BE49-F238E27FC236}">
              <a16:creationId xmlns:a16="http://schemas.microsoft.com/office/drawing/2014/main" id="{77F3BAED-F5AD-9DD5-BAAF-CB71811F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212" name="Picture 211" descr="United States">
          <a:extLst>
            <a:ext uri="{FF2B5EF4-FFF2-40B4-BE49-F238E27FC236}">
              <a16:creationId xmlns:a16="http://schemas.microsoft.com/office/drawing/2014/main" id="{D5AB813A-9568-7F53-F4B2-EAFDBEAE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213" name="Picture 212" descr="United States">
          <a:extLst>
            <a:ext uri="{FF2B5EF4-FFF2-40B4-BE49-F238E27FC236}">
              <a16:creationId xmlns:a16="http://schemas.microsoft.com/office/drawing/2014/main" id="{A1602958-00ED-0BE7-2514-BCF5224A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214" name="Picture 213" descr="England">
          <a:extLst>
            <a:ext uri="{FF2B5EF4-FFF2-40B4-BE49-F238E27FC236}">
              <a16:creationId xmlns:a16="http://schemas.microsoft.com/office/drawing/2014/main" id="{04DFF6E8-18C6-81D6-04F8-F66165F2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215" name="Picture 214" descr="South Korea">
          <a:extLst>
            <a:ext uri="{FF2B5EF4-FFF2-40B4-BE49-F238E27FC236}">
              <a16:creationId xmlns:a16="http://schemas.microsoft.com/office/drawing/2014/main" id="{FB3454B9-3981-78D1-5B85-0E904296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216" name="Picture 215" descr="Norway">
          <a:extLst>
            <a:ext uri="{FF2B5EF4-FFF2-40B4-BE49-F238E27FC236}">
              <a16:creationId xmlns:a16="http://schemas.microsoft.com/office/drawing/2014/main" id="{99C16FA9-966F-253E-B304-6AA7DC71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217" name="Picture 216" descr="Ireland">
          <a:extLst>
            <a:ext uri="{FF2B5EF4-FFF2-40B4-BE49-F238E27FC236}">
              <a16:creationId xmlns:a16="http://schemas.microsoft.com/office/drawing/2014/main" id="{847D2D1F-4C6D-DD43-DD2F-BAF403E3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218" name="Picture 217" descr="United States">
          <a:extLst>
            <a:ext uri="{FF2B5EF4-FFF2-40B4-BE49-F238E27FC236}">
              <a16:creationId xmlns:a16="http://schemas.microsoft.com/office/drawing/2014/main" id="{25D70785-1A85-7257-6478-EEADF6D1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219" name="Picture 218" descr="United States">
          <a:extLst>
            <a:ext uri="{FF2B5EF4-FFF2-40B4-BE49-F238E27FC236}">
              <a16:creationId xmlns:a16="http://schemas.microsoft.com/office/drawing/2014/main" id="{94E9C339-9F62-CCF6-BAC3-B03985CF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220" name="Picture 219" descr="Germany">
          <a:extLst>
            <a:ext uri="{FF2B5EF4-FFF2-40B4-BE49-F238E27FC236}">
              <a16:creationId xmlns:a16="http://schemas.microsoft.com/office/drawing/2014/main" id="{D96FABD0-EB6D-DA3D-1447-45FC44D5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221" name="Picture 220" descr="United States">
          <a:extLst>
            <a:ext uri="{FF2B5EF4-FFF2-40B4-BE49-F238E27FC236}">
              <a16:creationId xmlns:a16="http://schemas.microsoft.com/office/drawing/2014/main" id="{D603C3F3-DBD7-A12F-3290-6AB558E0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222" name="Picture 221" descr="Chile">
          <a:extLst>
            <a:ext uri="{FF2B5EF4-FFF2-40B4-BE49-F238E27FC236}">
              <a16:creationId xmlns:a16="http://schemas.microsoft.com/office/drawing/2014/main" id="{CFBA69BE-870B-1867-F96B-2200BEA2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223" name="Picture 222" descr="United States">
          <a:extLst>
            <a:ext uri="{FF2B5EF4-FFF2-40B4-BE49-F238E27FC236}">
              <a16:creationId xmlns:a16="http://schemas.microsoft.com/office/drawing/2014/main" id="{3E8129D8-3034-0853-15D6-B79570B0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224" name="Picture 223" descr="United States">
          <a:extLst>
            <a:ext uri="{FF2B5EF4-FFF2-40B4-BE49-F238E27FC236}">
              <a16:creationId xmlns:a16="http://schemas.microsoft.com/office/drawing/2014/main" id="{B0115054-462F-FB7D-D3D6-DEB8EAC71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225" name="Picture 224" descr="United States">
          <a:extLst>
            <a:ext uri="{FF2B5EF4-FFF2-40B4-BE49-F238E27FC236}">
              <a16:creationId xmlns:a16="http://schemas.microsoft.com/office/drawing/2014/main" id="{03E94D0F-9BBE-E9AC-C1C2-93B0D033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226" name="Picture 225" descr="Spain">
          <a:extLst>
            <a:ext uri="{FF2B5EF4-FFF2-40B4-BE49-F238E27FC236}">
              <a16:creationId xmlns:a16="http://schemas.microsoft.com/office/drawing/2014/main" id="{E24C5F09-2CF3-F14C-0205-ADAF475D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227" name="Picture 226" descr="Northern Ireland">
          <a:extLst>
            <a:ext uri="{FF2B5EF4-FFF2-40B4-BE49-F238E27FC236}">
              <a16:creationId xmlns:a16="http://schemas.microsoft.com/office/drawing/2014/main" id="{D08D4140-CA46-D4C7-609B-E61F7A3A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228" name="Picture 227" descr="United States">
          <a:extLst>
            <a:ext uri="{FF2B5EF4-FFF2-40B4-BE49-F238E27FC236}">
              <a16:creationId xmlns:a16="http://schemas.microsoft.com/office/drawing/2014/main" id="{A38E4ACE-6FBD-DDCA-9F92-36B41CAB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229" name="Picture 228" descr="United States">
          <a:extLst>
            <a:ext uri="{FF2B5EF4-FFF2-40B4-BE49-F238E27FC236}">
              <a16:creationId xmlns:a16="http://schemas.microsoft.com/office/drawing/2014/main" id="{866F4B20-8A78-E7D0-4F79-4FB6B8AD5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230" name="Picture 229" descr="Colombia">
          <a:extLst>
            <a:ext uri="{FF2B5EF4-FFF2-40B4-BE49-F238E27FC236}">
              <a16:creationId xmlns:a16="http://schemas.microsoft.com/office/drawing/2014/main" id="{9BF29A53-5A8F-B8CD-6725-64F5EEC8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231" name="Picture 230" descr="United States">
          <a:extLst>
            <a:ext uri="{FF2B5EF4-FFF2-40B4-BE49-F238E27FC236}">
              <a16:creationId xmlns:a16="http://schemas.microsoft.com/office/drawing/2014/main" id="{80407E6F-57AB-9873-CAEA-12C22A9C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232" name="Picture 231" descr="United States">
          <a:extLst>
            <a:ext uri="{FF2B5EF4-FFF2-40B4-BE49-F238E27FC236}">
              <a16:creationId xmlns:a16="http://schemas.microsoft.com/office/drawing/2014/main" id="{3DD3010A-DC5D-C669-EC4B-02C87183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233" name="Picture 232" descr="South Korea">
          <a:extLst>
            <a:ext uri="{FF2B5EF4-FFF2-40B4-BE49-F238E27FC236}">
              <a16:creationId xmlns:a16="http://schemas.microsoft.com/office/drawing/2014/main" id="{CD1C7E5D-B3D6-6360-E764-F1766BD7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234" name="Picture 233" descr="United States">
          <a:extLst>
            <a:ext uri="{FF2B5EF4-FFF2-40B4-BE49-F238E27FC236}">
              <a16:creationId xmlns:a16="http://schemas.microsoft.com/office/drawing/2014/main" id="{C2AA2E83-0E38-27C1-8246-21B1294C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235" name="Picture 234" descr="Singapore">
          <a:extLst>
            <a:ext uri="{FF2B5EF4-FFF2-40B4-BE49-F238E27FC236}">
              <a16:creationId xmlns:a16="http://schemas.microsoft.com/office/drawing/2014/main" id="{B8DC7619-E99B-6C1D-6E3A-55C8EDBC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236" name="Picture 235" descr="Canada">
          <a:extLst>
            <a:ext uri="{FF2B5EF4-FFF2-40B4-BE49-F238E27FC236}">
              <a16:creationId xmlns:a16="http://schemas.microsoft.com/office/drawing/2014/main" id="{0448477B-4D2C-16C1-8786-BB1A414B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237" name="Picture 236" descr="Denmark">
          <a:extLst>
            <a:ext uri="{FF2B5EF4-FFF2-40B4-BE49-F238E27FC236}">
              <a16:creationId xmlns:a16="http://schemas.microsoft.com/office/drawing/2014/main" id="{4CC7FBBC-54A4-15AB-4CC9-D8A305E7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238" name="Picture 237" descr="United States">
          <a:extLst>
            <a:ext uri="{FF2B5EF4-FFF2-40B4-BE49-F238E27FC236}">
              <a16:creationId xmlns:a16="http://schemas.microsoft.com/office/drawing/2014/main" id="{B1DC92DE-96A9-1923-0152-5126CCE0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239" name="Picture 238" descr="Japan">
          <a:extLst>
            <a:ext uri="{FF2B5EF4-FFF2-40B4-BE49-F238E27FC236}">
              <a16:creationId xmlns:a16="http://schemas.microsoft.com/office/drawing/2014/main" id="{678AF743-6604-54D0-7BDA-99710A09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240" name="Picture 239" descr="England">
          <a:extLst>
            <a:ext uri="{FF2B5EF4-FFF2-40B4-BE49-F238E27FC236}">
              <a16:creationId xmlns:a16="http://schemas.microsoft.com/office/drawing/2014/main" id="{7F018355-A349-2B0A-0E29-AD2DD329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241" name="Picture 240" descr="United States">
          <a:extLst>
            <a:ext uri="{FF2B5EF4-FFF2-40B4-BE49-F238E27FC236}">
              <a16:creationId xmlns:a16="http://schemas.microsoft.com/office/drawing/2014/main" id="{ECFD55C4-12CF-554E-F472-CD4DDB665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242" name="Picture 241" descr="Germany">
          <a:extLst>
            <a:ext uri="{FF2B5EF4-FFF2-40B4-BE49-F238E27FC236}">
              <a16:creationId xmlns:a16="http://schemas.microsoft.com/office/drawing/2014/main" id="{7342B63D-5469-E7D7-ECD3-9FFEF8FE7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243" name="Picture 242" descr="United States">
          <a:extLst>
            <a:ext uri="{FF2B5EF4-FFF2-40B4-BE49-F238E27FC236}">
              <a16:creationId xmlns:a16="http://schemas.microsoft.com/office/drawing/2014/main" id="{2EB39F0E-FAD2-D432-BBCE-BD16AE49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244" name="Picture 243" descr="United States">
          <a:extLst>
            <a:ext uri="{FF2B5EF4-FFF2-40B4-BE49-F238E27FC236}">
              <a16:creationId xmlns:a16="http://schemas.microsoft.com/office/drawing/2014/main" id="{A7FD13C6-FBA6-1ECA-7C30-46273B69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508000</xdr:colOff>
      <xdr:row>64</xdr:row>
      <xdr:rowOff>0</xdr:rowOff>
    </xdr:to>
    <xdr:pic>
      <xdr:nvPicPr>
        <xdr:cNvPr id="245" name="Picture 244" descr="South Korea">
          <a:extLst>
            <a:ext uri="{FF2B5EF4-FFF2-40B4-BE49-F238E27FC236}">
              <a16:creationId xmlns:a16="http://schemas.microsoft.com/office/drawing/2014/main" id="{EFB8DD3A-4E9F-50EC-DCF6-8539F89A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2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246" name="Picture 245" descr="United States">
          <a:extLst>
            <a:ext uri="{FF2B5EF4-FFF2-40B4-BE49-F238E27FC236}">
              <a16:creationId xmlns:a16="http://schemas.microsoft.com/office/drawing/2014/main" id="{486DDD56-0012-A855-5ED5-6B2BB8684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247" name="Picture 246" descr="Australia">
          <a:extLst>
            <a:ext uri="{FF2B5EF4-FFF2-40B4-BE49-F238E27FC236}">
              <a16:creationId xmlns:a16="http://schemas.microsoft.com/office/drawing/2014/main" id="{8FA5F087-819E-D16E-C70C-D6196768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248" name="Picture 247" descr="South Africa">
          <a:extLst>
            <a:ext uri="{FF2B5EF4-FFF2-40B4-BE49-F238E27FC236}">
              <a16:creationId xmlns:a16="http://schemas.microsoft.com/office/drawing/2014/main" id="{75146A91-E542-17B4-A622-18B2BAE1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249" name="Picture 248" descr="United States">
          <a:extLst>
            <a:ext uri="{FF2B5EF4-FFF2-40B4-BE49-F238E27FC236}">
              <a16:creationId xmlns:a16="http://schemas.microsoft.com/office/drawing/2014/main" id="{81C48DF0-BA02-7D5E-0536-D5AFE15B1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250" name="Picture 249" descr="United States">
          <a:extLst>
            <a:ext uri="{FF2B5EF4-FFF2-40B4-BE49-F238E27FC236}">
              <a16:creationId xmlns:a16="http://schemas.microsoft.com/office/drawing/2014/main" id="{52785107-F58C-40B1-0EA1-63D1E0DB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251" name="Picture 250" descr="United States">
          <a:extLst>
            <a:ext uri="{FF2B5EF4-FFF2-40B4-BE49-F238E27FC236}">
              <a16:creationId xmlns:a16="http://schemas.microsoft.com/office/drawing/2014/main" id="{7E9E9BA5-39CC-F88A-825E-4DF4D760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252" name="Picture 251" descr="United States">
          <a:extLst>
            <a:ext uri="{FF2B5EF4-FFF2-40B4-BE49-F238E27FC236}">
              <a16:creationId xmlns:a16="http://schemas.microsoft.com/office/drawing/2014/main" id="{AFAC8D6F-1F0D-B677-6F35-A4949B4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253" name="Picture 252" descr="United States">
          <a:extLst>
            <a:ext uri="{FF2B5EF4-FFF2-40B4-BE49-F238E27FC236}">
              <a16:creationId xmlns:a16="http://schemas.microsoft.com/office/drawing/2014/main" id="{2EA2CD5B-3AF8-F89E-1047-9F2A9379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72</xdr:row>
      <xdr:rowOff>254000</xdr:rowOff>
    </xdr:to>
    <xdr:pic>
      <xdr:nvPicPr>
        <xdr:cNvPr id="254" name="Picture 253" descr="Venezuela">
          <a:extLst>
            <a:ext uri="{FF2B5EF4-FFF2-40B4-BE49-F238E27FC236}">
              <a16:creationId xmlns:a16="http://schemas.microsoft.com/office/drawing/2014/main" id="{CF47ADDE-4F8E-EE0C-A64D-90A00252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73</xdr:row>
      <xdr:rowOff>0</xdr:rowOff>
    </xdr:to>
    <xdr:pic>
      <xdr:nvPicPr>
        <xdr:cNvPr id="255" name="Picture 254" descr="Canada">
          <a:extLst>
            <a:ext uri="{FF2B5EF4-FFF2-40B4-BE49-F238E27FC236}">
              <a16:creationId xmlns:a16="http://schemas.microsoft.com/office/drawing/2014/main" id="{AC4685E3-332F-4F49-5601-2910999C5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256" name="Picture 255" descr="United States">
          <a:extLst>
            <a:ext uri="{FF2B5EF4-FFF2-40B4-BE49-F238E27FC236}">
              <a16:creationId xmlns:a16="http://schemas.microsoft.com/office/drawing/2014/main" id="{03F59220-E882-0253-A684-D8320D4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0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257" name="Picture 256" descr="England">
          <a:extLst>
            <a:ext uri="{FF2B5EF4-FFF2-40B4-BE49-F238E27FC236}">
              <a16:creationId xmlns:a16="http://schemas.microsoft.com/office/drawing/2014/main" id="{E888A6A8-2849-D5F0-8204-64820DAA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258" name="Picture 257" descr="Scotland">
          <a:extLst>
            <a:ext uri="{FF2B5EF4-FFF2-40B4-BE49-F238E27FC236}">
              <a16:creationId xmlns:a16="http://schemas.microsoft.com/office/drawing/2014/main" id="{970AB5BC-3737-EE3F-0578-7DDBD204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259" name="Picture 258" descr="United States">
          <a:extLst>
            <a:ext uri="{FF2B5EF4-FFF2-40B4-BE49-F238E27FC236}">
              <a16:creationId xmlns:a16="http://schemas.microsoft.com/office/drawing/2014/main" id="{90E99ACC-22ED-3A72-2576-62A724B06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260" name="Picture 259" descr="United States">
          <a:extLst>
            <a:ext uri="{FF2B5EF4-FFF2-40B4-BE49-F238E27FC236}">
              <a16:creationId xmlns:a16="http://schemas.microsoft.com/office/drawing/2014/main" id="{AF765067-D886-92F9-CBEB-E23E39A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261" name="Picture 260" descr="Puerto Rico">
          <a:extLst>
            <a:ext uri="{FF2B5EF4-FFF2-40B4-BE49-F238E27FC236}">
              <a16:creationId xmlns:a16="http://schemas.microsoft.com/office/drawing/2014/main" id="{B9064AAF-938A-01EE-3DD8-449283F7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262" name="Picture 261" descr="Argentina">
          <a:extLst>
            <a:ext uri="{FF2B5EF4-FFF2-40B4-BE49-F238E27FC236}">
              <a16:creationId xmlns:a16="http://schemas.microsoft.com/office/drawing/2014/main" id="{A4D6EAD0-885B-D7AA-C48C-630AEE1B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263" name="Picture 262" descr="Spain">
          <a:extLst>
            <a:ext uri="{FF2B5EF4-FFF2-40B4-BE49-F238E27FC236}">
              <a16:creationId xmlns:a16="http://schemas.microsoft.com/office/drawing/2014/main" id="{1F823567-8538-27EA-30BE-3C6929DA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264" name="Picture 263" descr="Denmark">
          <a:extLst>
            <a:ext uri="{FF2B5EF4-FFF2-40B4-BE49-F238E27FC236}">
              <a16:creationId xmlns:a16="http://schemas.microsoft.com/office/drawing/2014/main" id="{A4035826-7AAA-C7DF-F7D9-DBF9B2EF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265" name="Picture 264" descr="Chinese Taipei">
          <a:extLst>
            <a:ext uri="{FF2B5EF4-FFF2-40B4-BE49-F238E27FC236}">
              <a16:creationId xmlns:a16="http://schemas.microsoft.com/office/drawing/2014/main" id="{C701E139-25D6-E57E-7640-601ADB39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266" name="Picture 265" descr="United States">
          <a:extLst>
            <a:ext uri="{FF2B5EF4-FFF2-40B4-BE49-F238E27FC236}">
              <a16:creationId xmlns:a16="http://schemas.microsoft.com/office/drawing/2014/main" id="{4897B8E1-A50E-E7B5-F4D1-3EF8B217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267" name="Picture 266" descr="Spain">
          <a:extLst>
            <a:ext uri="{FF2B5EF4-FFF2-40B4-BE49-F238E27FC236}">
              <a16:creationId xmlns:a16="http://schemas.microsoft.com/office/drawing/2014/main" id="{4E347DD4-2E61-D357-337E-2D76B0DB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268" name="Picture 267" descr="United States">
          <a:extLst>
            <a:ext uri="{FF2B5EF4-FFF2-40B4-BE49-F238E27FC236}">
              <a16:creationId xmlns:a16="http://schemas.microsoft.com/office/drawing/2014/main" id="{F71BCF70-620E-8DA0-B3E4-8F5E6496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269" name="Picture 268" descr="South Africa">
          <a:extLst>
            <a:ext uri="{FF2B5EF4-FFF2-40B4-BE49-F238E27FC236}">
              <a16:creationId xmlns:a16="http://schemas.microsoft.com/office/drawing/2014/main" id="{1DE991F9-B1CD-AF5D-27D7-7E067E52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270" name="Picture 269" descr="Cayman Islands">
          <a:extLst>
            <a:ext uri="{FF2B5EF4-FFF2-40B4-BE49-F238E27FC236}">
              <a16:creationId xmlns:a16="http://schemas.microsoft.com/office/drawing/2014/main" id="{98A3253D-0285-B985-38D8-CE95C5A8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271" name="Picture 270" descr="United States">
          <a:extLst>
            <a:ext uri="{FF2B5EF4-FFF2-40B4-BE49-F238E27FC236}">
              <a16:creationId xmlns:a16="http://schemas.microsoft.com/office/drawing/2014/main" id="{97AA7DA6-5D84-1865-5F85-2CC3CC25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272" name="Picture 271" descr="Canada">
          <a:extLst>
            <a:ext uri="{FF2B5EF4-FFF2-40B4-BE49-F238E27FC236}">
              <a16:creationId xmlns:a16="http://schemas.microsoft.com/office/drawing/2014/main" id="{0A50591E-316D-5B64-F3E3-5A326C12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273" name="Picture 272" descr="United States">
          <a:extLst>
            <a:ext uri="{FF2B5EF4-FFF2-40B4-BE49-F238E27FC236}">
              <a16:creationId xmlns:a16="http://schemas.microsoft.com/office/drawing/2014/main" id="{A072C3F7-7416-6AAD-9713-BD51503F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274" name="Picture 273" descr="England">
          <a:extLst>
            <a:ext uri="{FF2B5EF4-FFF2-40B4-BE49-F238E27FC236}">
              <a16:creationId xmlns:a16="http://schemas.microsoft.com/office/drawing/2014/main" id="{23F99CD5-BB0B-957C-D6C9-2F0B73A2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275" name="Picture 274" descr="Spain">
          <a:extLst>
            <a:ext uri="{FF2B5EF4-FFF2-40B4-BE49-F238E27FC236}">
              <a16:creationId xmlns:a16="http://schemas.microsoft.com/office/drawing/2014/main" id="{FDA71245-31F5-5CD5-ABCB-467C5B29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276" name="Picture 275" descr="United States">
          <a:extLst>
            <a:ext uri="{FF2B5EF4-FFF2-40B4-BE49-F238E27FC236}">
              <a16:creationId xmlns:a16="http://schemas.microsoft.com/office/drawing/2014/main" id="{F3485A66-3693-F6D5-4C2F-F5156601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277" name="Picture 276" descr="Australia">
          <a:extLst>
            <a:ext uri="{FF2B5EF4-FFF2-40B4-BE49-F238E27FC236}">
              <a16:creationId xmlns:a16="http://schemas.microsoft.com/office/drawing/2014/main" id="{FC4247A8-5B59-5CCE-2CA1-28F8F6E47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278" name="Picture 277" descr="France">
          <a:extLst>
            <a:ext uri="{FF2B5EF4-FFF2-40B4-BE49-F238E27FC236}">
              <a16:creationId xmlns:a16="http://schemas.microsoft.com/office/drawing/2014/main" id="{A90FEC5B-94E0-BC7D-BA3D-1C872669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279" name="Picture 278" descr="United States">
          <a:extLst>
            <a:ext uri="{FF2B5EF4-FFF2-40B4-BE49-F238E27FC236}">
              <a16:creationId xmlns:a16="http://schemas.microsoft.com/office/drawing/2014/main" id="{CE755837-8061-F4C3-D792-3FF677A4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280" name="Picture 279" descr="Austria">
          <a:extLst>
            <a:ext uri="{FF2B5EF4-FFF2-40B4-BE49-F238E27FC236}">
              <a16:creationId xmlns:a16="http://schemas.microsoft.com/office/drawing/2014/main" id="{F0427D71-CF85-5DAE-6B0F-437C5073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281" name="Picture 280" descr="United States">
          <a:extLst>
            <a:ext uri="{FF2B5EF4-FFF2-40B4-BE49-F238E27FC236}">
              <a16:creationId xmlns:a16="http://schemas.microsoft.com/office/drawing/2014/main" id="{174CD59A-E794-477E-8259-7A7128B4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282" name="Picture 281" descr="United States">
          <a:extLst>
            <a:ext uri="{FF2B5EF4-FFF2-40B4-BE49-F238E27FC236}">
              <a16:creationId xmlns:a16="http://schemas.microsoft.com/office/drawing/2014/main" id="{872851A1-58F7-7D29-5045-F243BCE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283" name="Picture 282" descr="Belgium">
          <a:extLst>
            <a:ext uri="{FF2B5EF4-FFF2-40B4-BE49-F238E27FC236}">
              <a16:creationId xmlns:a16="http://schemas.microsoft.com/office/drawing/2014/main" id="{3E9C669A-2432-9885-B2AF-6F4B3B02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66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284" name="Picture 283" descr="South Africa">
          <a:extLst>
            <a:ext uri="{FF2B5EF4-FFF2-40B4-BE49-F238E27FC236}">
              <a16:creationId xmlns:a16="http://schemas.microsoft.com/office/drawing/2014/main" id="{4F17D5BD-C62D-CD83-EFFE-D575BE82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07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285" name="Picture 284" descr="United States">
          <a:extLst>
            <a:ext uri="{FF2B5EF4-FFF2-40B4-BE49-F238E27FC236}">
              <a16:creationId xmlns:a16="http://schemas.microsoft.com/office/drawing/2014/main" id="{FDFAEB7E-FEB0-FF3B-0C0B-45D82380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49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286" name="Picture 285" descr="United States">
          <a:extLst>
            <a:ext uri="{FF2B5EF4-FFF2-40B4-BE49-F238E27FC236}">
              <a16:creationId xmlns:a16="http://schemas.microsoft.com/office/drawing/2014/main" id="{CF14478D-D98F-4B02-0E74-0CDC4E02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5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.com/golf/player/_/id/4587/shane-lowry" TargetMode="External"/><Relationship Id="rId21" Type="http://schemas.openxmlformats.org/officeDocument/2006/relationships/hyperlink" Target="https://www.espn.com/golf/player/_/id/10054/denny-mccarthy" TargetMode="External"/><Relationship Id="rId42" Type="http://schemas.openxmlformats.org/officeDocument/2006/relationships/hyperlink" Target="https://www.espn.com/golf/player/_/id/4602673/tom-kim" TargetMode="External"/><Relationship Id="rId47" Type="http://schemas.openxmlformats.org/officeDocument/2006/relationships/hyperlink" Target="https://www.espn.com/golf/player/_/id/10140/xander-schauffele" TargetMode="External"/><Relationship Id="rId63" Type="http://schemas.openxmlformats.org/officeDocument/2006/relationships/hyperlink" Target="https://www.espn.com/golf/player/_/id/1030/jhonattan-vegas" TargetMode="External"/><Relationship Id="rId68" Type="http://schemas.openxmlformats.org/officeDocument/2006/relationships/hyperlink" Target="https://www.espn.com/golf/player/_/id/308/phil-mickelson" TargetMode="External"/><Relationship Id="rId84" Type="http://schemas.openxmlformats.org/officeDocument/2006/relationships/hyperlink" Target="https://www.espn.com/golf/player/_/id/329/jose-maria-olazabal" TargetMode="External"/><Relationship Id="rId89" Type="http://schemas.openxmlformats.org/officeDocument/2006/relationships/hyperlink" Target="https://www.espn.com/golf/player/_/id/8961/sepp-straka" TargetMode="External"/><Relationship Id="rId16" Type="http://schemas.openxmlformats.org/officeDocument/2006/relationships/hyperlink" Target="https://www.espn.com/golf/player/_/id/5579/patrick-reed" TargetMode="External"/><Relationship Id="rId11" Type="http://schemas.openxmlformats.org/officeDocument/2006/relationships/hyperlink" Target="https://www.espn.com/golf/player/_/id/8974/michael-kim" TargetMode="External"/><Relationship Id="rId32" Type="http://schemas.openxmlformats.org/officeDocument/2006/relationships/hyperlink" Target="https://www.espn.com/golf/player/_/id/9530/maverick-mcnealy" TargetMode="External"/><Relationship Id="rId37" Type="http://schemas.openxmlformats.org/officeDocument/2006/relationships/hyperlink" Target="https://www.espn.com/golf/player/_/id/10980/sahith-theegala" TargetMode="External"/><Relationship Id="rId53" Type="http://schemas.openxmlformats.org/officeDocument/2006/relationships/hyperlink" Target="https://www.espn.com/golf/player/_/id/10505/jt-poston" TargetMode="External"/><Relationship Id="rId58" Type="http://schemas.openxmlformats.org/officeDocument/2006/relationships/hyperlink" Target="https://www.espn.com/golf/player/_/id/8973/max-homa" TargetMode="External"/><Relationship Id="rId74" Type="http://schemas.openxmlformats.org/officeDocument/2006/relationships/hyperlink" Target="https://www.espn.com/golf/player/_/id/4349547/kevin-yu" TargetMode="External"/><Relationship Id="rId79" Type="http://schemas.openxmlformats.org/officeDocument/2006/relationships/hyperlink" Target="https://www.espn.com/golf/player/_/id/5203536/justin-hastings" TargetMode="External"/><Relationship Id="rId5" Type="http://schemas.openxmlformats.org/officeDocument/2006/relationships/hyperlink" Target="https://www.espn.com/golf/player/_/id/5553/tyrrell-hatton" TargetMode="External"/><Relationship Id="rId90" Type="http://schemas.openxmlformats.org/officeDocument/2006/relationships/hyperlink" Target="https://www.espn.com/golf/player/_/id/3980/patton-kizzire" TargetMode="External"/><Relationship Id="rId95" Type="http://schemas.openxmlformats.org/officeDocument/2006/relationships/hyperlink" Target="https://www.espn.com/golf/player/_/id/4832046/nick-dunlap" TargetMode="External"/><Relationship Id="rId22" Type="http://schemas.openxmlformats.org/officeDocument/2006/relationships/hyperlink" Target="https://www.espn.com/golf/player/_/id/9025/daniel-berger" TargetMode="External"/><Relationship Id="rId27" Type="http://schemas.openxmlformats.org/officeDocument/2006/relationships/hyperlink" Target="https://www.espn.com/golf/player/_/id/4425906/cameron-young" TargetMode="External"/><Relationship Id="rId43" Type="http://schemas.openxmlformats.org/officeDocument/2006/relationships/hyperlink" Target="https://www.espn.com/golf/player/_/id/10372/adam-schenk" TargetMode="External"/><Relationship Id="rId48" Type="http://schemas.openxmlformats.org/officeDocument/2006/relationships/hyperlink" Target="https://www.espn.com/golf/player/_/id/5860/hideki-matsuyama" TargetMode="External"/><Relationship Id="rId64" Type="http://schemas.openxmlformats.org/officeDocument/2006/relationships/hyperlink" Target="https://www.espn.com/golf/player/_/id/453/mike-weir" TargetMode="External"/><Relationship Id="rId69" Type="http://schemas.openxmlformats.org/officeDocument/2006/relationships/hyperlink" Target="https://www.espn.com/golf/player/_/id/2230/tony-finau" TargetMode="External"/><Relationship Id="rId8" Type="http://schemas.openxmlformats.org/officeDocument/2006/relationships/hyperlink" Target="https://www.espn.com/golf/player/_/id/5408/harris-english" TargetMode="External"/><Relationship Id="rId51" Type="http://schemas.openxmlformats.org/officeDocument/2006/relationships/hyperlink" Target="https://www.espn.com/golf/player/_/id/261/bernhard-langer" TargetMode="External"/><Relationship Id="rId72" Type="http://schemas.openxmlformats.org/officeDocument/2006/relationships/hyperlink" Target="https://www.espn.com/golf/player/_/id/9780/jon-rahm" TargetMode="External"/><Relationship Id="rId80" Type="http://schemas.openxmlformats.org/officeDocument/2006/relationships/hyperlink" Target="https://www.espn.com/golf/player/_/id/11119/wyndham-clark" TargetMode="External"/><Relationship Id="rId85" Type="http://schemas.openxmlformats.org/officeDocument/2006/relationships/hyperlink" Target="https://www.espn.com/golf/player/_/id/10559/evan-beck" TargetMode="External"/><Relationship Id="rId93" Type="http://schemas.openxmlformats.org/officeDocument/2006/relationships/hyperlink" Target="https://www.espn.com/golf/player/_/id/9240/thriston-lawrence" TargetMode="External"/><Relationship Id="rId3" Type="http://schemas.openxmlformats.org/officeDocument/2006/relationships/hyperlink" Target="https://www.espn.com/golf/player/_/id/9478/scottie-scheffler" TargetMode="External"/><Relationship Id="rId12" Type="http://schemas.openxmlformats.org/officeDocument/2006/relationships/hyperlink" Target="https://www.espn.com/golf/player/_/id/4602218/davis-thompson" TargetMode="External"/><Relationship Id="rId17" Type="http://schemas.openxmlformats.org/officeDocument/2006/relationships/hyperlink" Target="https://www.espn.com/golf/player/_/id/11101/max-greyserman" TargetMode="External"/><Relationship Id="rId25" Type="http://schemas.openxmlformats.org/officeDocument/2006/relationships/hyperlink" Target="https://www.espn.com/golf/player/_/id/4364873/viktor-hovland" TargetMode="External"/><Relationship Id="rId33" Type="http://schemas.openxmlformats.org/officeDocument/2006/relationships/hyperlink" Target="https://www.espn.com/golf/player/_/id/9525/brian-campbell" TargetMode="External"/><Relationship Id="rId38" Type="http://schemas.openxmlformats.org/officeDocument/2006/relationships/hyperlink" Target="https://www.espn.com/golf/player/_/id/10058/davis-riley" TargetMode="External"/><Relationship Id="rId46" Type="http://schemas.openxmlformats.org/officeDocument/2006/relationships/hyperlink" Target="https://www.espn.com/golf/player/_/id/11253/rasmus-h%C3%B8jgaard" TargetMode="External"/><Relationship Id="rId59" Type="http://schemas.openxmlformats.org/officeDocument/2006/relationships/hyperlink" Target="https://www.espn.com/golf/player/_/id/10166/jj-spaun" TargetMode="External"/><Relationship Id="rId67" Type="http://schemas.openxmlformats.org/officeDocument/2006/relationships/hyperlink" Target="https://www.espn.com/golf/player/_/id/11378/robert-macintyre" TargetMode="External"/><Relationship Id="rId20" Type="http://schemas.openxmlformats.org/officeDocument/2006/relationships/hyperlink" Target="https://www.espn.com/golf/player/_/id/4901368/matt-mccarty" TargetMode="External"/><Relationship Id="rId41" Type="http://schemas.openxmlformats.org/officeDocument/2006/relationships/hyperlink" Target="https://www.espn.com/golf/player/_/id/5467/jordan-spieth" TargetMode="External"/><Relationship Id="rId54" Type="http://schemas.openxmlformats.org/officeDocument/2006/relationships/hyperlink" Target="https://www.espn.com/golf/player/_/id/5285/byeong-hun-an" TargetMode="External"/><Relationship Id="rId62" Type="http://schemas.openxmlformats.org/officeDocument/2006/relationships/hyperlink" Target="https://www.espn.com/golf/player/_/id/6798/brooks-koepka" TargetMode="External"/><Relationship Id="rId70" Type="http://schemas.openxmlformats.org/officeDocument/2006/relationships/hyperlink" Target="https://www.espn.com/golf/player/_/id/3683/rafael-campos" TargetMode="External"/><Relationship Id="rId75" Type="http://schemas.openxmlformats.org/officeDocument/2006/relationships/hyperlink" Target="https://www.espn.com/golf/player/_/id/4868733/joe-highsmith" TargetMode="External"/><Relationship Id="rId83" Type="http://schemas.openxmlformats.org/officeDocument/2006/relationships/hyperlink" Target="https://www.espn.com/golf/player/_/id/5550/laurie-canter" TargetMode="External"/><Relationship Id="rId88" Type="http://schemas.openxmlformats.org/officeDocument/2006/relationships/hyperlink" Target="https://www.espn.com/golf/player/_/id/676/lucas-glover" TargetMode="External"/><Relationship Id="rId91" Type="http://schemas.openxmlformats.org/officeDocument/2006/relationships/hyperlink" Target="https://www.espn.com/golf/player/_/id/5276688/noah-kent" TargetMode="External"/><Relationship Id="rId96" Type="http://schemas.openxmlformats.org/officeDocument/2006/relationships/drawing" Target="../drawings/drawing1.xml"/><Relationship Id="rId1" Type="http://schemas.openxmlformats.org/officeDocument/2006/relationships/hyperlink" Target="https://www.espn.com/golf/player/_/id/569/justin-rose" TargetMode="External"/><Relationship Id="rId6" Type="http://schemas.openxmlformats.org/officeDocument/2006/relationships/hyperlink" Target="https://www.espn.com/golf/player/_/id/10046/bryson-dechambeau" TargetMode="External"/><Relationship Id="rId15" Type="http://schemas.openxmlformats.org/officeDocument/2006/relationships/hyperlink" Target="https://www.espn.com/golf/player/_/id/1225/brian-harman" TargetMode="External"/><Relationship Id="rId23" Type="http://schemas.openxmlformats.org/officeDocument/2006/relationships/hyperlink" Target="https://www.espn.com/golf/player/_/id/9037/matt-fitzpatrick" TargetMode="External"/><Relationship Id="rId28" Type="http://schemas.openxmlformats.org/officeDocument/2006/relationships/hyperlink" Target="https://www.espn.com/golf/player/_/id/686/zach-johnson" TargetMode="External"/><Relationship Id="rId36" Type="http://schemas.openxmlformats.org/officeDocument/2006/relationships/hyperlink" Target="https://www.espn.com/golf/player/_/id/3470/rory-mcilroy" TargetMode="External"/><Relationship Id="rId49" Type="http://schemas.openxmlformats.org/officeDocument/2006/relationships/hyperlink" Target="https://www.espn.com/golf/player/_/id/5539/tommy-fleetwood" TargetMode="External"/><Relationship Id="rId57" Type="http://schemas.openxmlformats.org/officeDocument/2006/relationships/hyperlink" Target="https://www.espn.com/golf/player/_/id/1097/charl-schwartzel" TargetMode="External"/><Relationship Id="rId10" Type="http://schemas.openxmlformats.org/officeDocument/2006/relationships/hyperlink" Target="https://www.espn.com/golf/player/_/id/4419142/akshay-bhatia" TargetMode="External"/><Relationship Id="rId31" Type="http://schemas.openxmlformats.org/officeDocument/2006/relationships/hyperlink" Target="https://www.espn.com/golf/player/_/id/11099/joaquin-niemann" TargetMode="External"/><Relationship Id="rId44" Type="http://schemas.openxmlformats.org/officeDocument/2006/relationships/hyperlink" Target="https://www.espn.com/golf/player/_/id/5214992/hiroshi-tai" TargetMode="External"/><Relationship Id="rId52" Type="http://schemas.openxmlformats.org/officeDocument/2006/relationships/hyperlink" Target="https://www.espn.com/golf/player/_/id/9877/will-zalatoris" TargetMode="External"/><Relationship Id="rId60" Type="http://schemas.openxmlformats.org/officeDocument/2006/relationships/hyperlink" Target="https://www.espn.com/golf/player/_/id/3448/dustin-johnson" TargetMode="External"/><Relationship Id="rId65" Type="http://schemas.openxmlformats.org/officeDocument/2006/relationships/hyperlink" Target="https://www.espn.com/golf/player/_/id/3449/chris-kirk" TargetMode="External"/><Relationship Id="rId73" Type="http://schemas.openxmlformats.org/officeDocument/2006/relationships/hyperlink" Target="https://www.espn.com/golf/player/_/id/11250/nicolai-h%C3%B8jgaard" TargetMode="External"/><Relationship Id="rId78" Type="http://schemas.openxmlformats.org/officeDocument/2006/relationships/hyperlink" Target="https://www.espn.com/golf/player/_/id/9243/christiaan-bezuidenhout" TargetMode="External"/><Relationship Id="rId81" Type="http://schemas.openxmlformats.org/officeDocument/2006/relationships/hyperlink" Target="https://www.espn.com/golf/player/_/id/9658/taylor-pendrith" TargetMode="External"/><Relationship Id="rId86" Type="http://schemas.openxmlformats.org/officeDocument/2006/relationships/hyperlink" Target="https://www.espn.com/golf/player/_/id/388/adam-scott" TargetMode="External"/><Relationship Id="rId94" Type="http://schemas.openxmlformats.org/officeDocument/2006/relationships/hyperlink" Target="https://www.espn.com/golf/player/_/id/5409/russell-henley" TargetMode="External"/><Relationship Id="rId4" Type="http://schemas.openxmlformats.org/officeDocument/2006/relationships/hyperlink" Target="https://www.espn.com/golf/player/_/id/4375972/ludvig-aberg" TargetMode="External"/><Relationship Id="rId9" Type="http://schemas.openxmlformats.org/officeDocument/2006/relationships/hyperlink" Target="https://www.espn.com/golf/player/_/id/1680/jason-day" TargetMode="External"/><Relationship Id="rId13" Type="http://schemas.openxmlformats.org/officeDocument/2006/relationships/hyperlink" Target="https://www.espn.com/golf/player/_/id/9131/cameron-smith" TargetMode="External"/><Relationship Id="rId18" Type="http://schemas.openxmlformats.org/officeDocument/2006/relationships/hyperlink" Target="https://www.espn.com/golf/player/_/id/4410932/min-woo-lee" TargetMode="External"/><Relationship Id="rId39" Type="http://schemas.openxmlformats.org/officeDocument/2006/relationships/hyperlink" Target="https://www.espn.com/golf/player/_/id/4408316/nicolas-echavarria" TargetMode="External"/><Relationship Id="rId34" Type="http://schemas.openxmlformats.org/officeDocument/2006/relationships/hyperlink" Target="https://www.espn.com/golf/player/_/id/6086/tom-hoge" TargetMode="External"/><Relationship Id="rId50" Type="http://schemas.openxmlformats.org/officeDocument/2006/relationships/hyperlink" Target="https://www.espn.com/golf/player/_/id/9938/sam-burns" TargetMode="External"/><Relationship Id="rId55" Type="http://schemas.openxmlformats.org/officeDocument/2006/relationships/hyperlink" Target="https://www.espn.com/golf/player/_/id/4513/keegan-bradley" TargetMode="External"/><Relationship Id="rId76" Type="http://schemas.openxmlformats.org/officeDocument/2006/relationships/hyperlink" Target="https://www.espn.com/golf/player/_/id/5152205/jose-luis-ballester" TargetMode="External"/><Relationship Id="rId7" Type="http://schemas.openxmlformats.org/officeDocument/2006/relationships/hyperlink" Target="https://www.espn.com/golf/player/_/id/10906/aaron-rai" TargetMode="External"/><Relationship Id="rId71" Type="http://schemas.openxmlformats.org/officeDocument/2006/relationships/hyperlink" Target="https://www.espn.com/golf/player/_/id/65/angel-cabrera" TargetMode="External"/><Relationship Id="rId92" Type="http://schemas.openxmlformats.org/officeDocument/2006/relationships/hyperlink" Target="https://www.espn.com/golf/player/_/id/4837/thomas-detry" TargetMode="External"/><Relationship Id="rId2" Type="http://schemas.openxmlformats.org/officeDocument/2006/relationships/hyperlink" Target="https://www.espn.com/golf/player/_/id/9126/corey-conners" TargetMode="External"/><Relationship Id="rId29" Type="http://schemas.openxmlformats.org/officeDocument/2006/relationships/hyperlink" Target="https://www.espn.com/golf/player/_/id/6937/stephan-jaeger" TargetMode="External"/><Relationship Id="rId24" Type="http://schemas.openxmlformats.org/officeDocument/2006/relationships/hyperlink" Target="https://www.espn.com/golf/player/_/id/11382/sungjae-im" TargetMode="External"/><Relationship Id="rId40" Type="http://schemas.openxmlformats.org/officeDocument/2006/relationships/hyperlink" Target="https://www.espn.com/golf/player/_/id/4848/justin-thomas" TargetMode="External"/><Relationship Id="rId45" Type="http://schemas.openxmlformats.org/officeDocument/2006/relationships/hyperlink" Target="https://www.espn.com/golf/player/_/id/3792/nick-taylor" TargetMode="External"/><Relationship Id="rId66" Type="http://schemas.openxmlformats.org/officeDocument/2006/relationships/hyperlink" Target="https://www.espn.com/golf/player/_/id/4304/danny-willett" TargetMode="External"/><Relationship Id="rId87" Type="http://schemas.openxmlformats.org/officeDocument/2006/relationships/hyperlink" Target="https://www.espn.com/golf/player/_/id/10596/matthieu-pavon" TargetMode="External"/><Relationship Id="rId61" Type="http://schemas.openxmlformats.org/officeDocument/2006/relationships/hyperlink" Target="https://www.espn.com/golf/player/_/id/6007/patrick-cantlay" TargetMode="External"/><Relationship Id="rId82" Type="http://schemas.openxmlformats.org/officeDocument/2006/relationships/hyperlink" Target="https://www.espn.com/golf/player/_/id/1651/billy-horschel" TargetMode="External"/><Relationship Id="rId19" Type="http://schemas.openxmlformats.org/officeDocument/2006/relationships/hyperlink" Target="https://www.espn.com/golf/player/_/id/780/bubba-watson" TargetMode="External"/><Relationship Id="rId14" Type="http://schemas.openxmlformats.org/officeDocument/2006/relationships/hyperlink" Target="https://www.espn.com/golf/player/_/id/91/fred-couples" TargetMode="External"/><Relationship Id="rId30" Type="http://schemas.openxmlformats.org/officeDocument/2006/relationships/hyperlink" Target="https://www.espn.com/golf/player/_/id/10592/collin-morikawa" TargetMode="External"/><Relationship Id="rId35" Type="http://schemas.openxmlformats.org/officeDocument/2006/relationships/hyperlink" Target="https://www.espn.com/golf/player/_/id/158/sergio-garcia" TargetMode="External"/><Relationship Id="rId56" Type="http://schemas.openxmlformats.org/officeDocument/2006/relationships/hyperlink" Target="https://www.espn.com/golf/player/_/id/10863/cam-davis" TargetMode="External"/><Relationship Id="rId77" Type="http://schemas.openxmlformats.org/officeDocument/2006/relationships/hyperlink" Target="https://www.espn.com/golf/player/_/id/4425898/austin-eckro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0964-0CB0-EA49-A6DF-03DC33DF2CC0}">
  <dimension ref="A1:U42"/>
  <sheetViews>
    <sheetView zoomScale="150" zoomScaleNormal="150" workbookViewId="0">
      <selection activeCell="K1" sqref="K1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5" width="18.5" bestFit="1" customWidth="1"/>
    <col min="6" max="6" width="6.1640625" customWidth="1"/>
    <col min="7" max="7" width="18.5" bestFit="1" customWidth="1"/>
    <col min="8" max="8" width="4.83203125" customWidth="1"/>
    <col min="9" max="9" width="18.5" bestFit="1" customWidth="1"/>
    <col min="10" max="10" width="4.83203125" customWidth="1"/>
    <col min="11" max="11" width="19.1640625" bestFit="1" customWidth="1"/>
    <col min="12" max="12" width="4.83203125" customWidth="1"/>
    <col min="13" max="13" width="20.1640625" bestFit="1" customWidth="1"/>
    <col min="14" max="14" width="4.83203125" customWidth="1"/>
    <col min="15" max="15" width="17.6640625" bestFit="1" customWidth="1"/>
    <col min="16" max="16" width="4.83203125" customWidth="1"/>
    <col min="17" max="17" width="18.6640625" bestFit="1" customWidth="1"/>
    <col min="18" max="18" width="4.83203125" customWidth="1"/>
    <col min="19" max="19" width="18.6640625" bestFit="1" customWidth="1"/>
    <col min="20" max="20" width="4.83203125" customWidth="1"/>
    <col min="21" max="21" width="13" customWidth="1"/>
  </cols>
  <sheetData>
    <row r="1" spans="1:2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9</v>
      </c>
      <c r="P1" s="2"/>
      <c r="Q1" s="2" t="s">
        <v>10</v>
      </c>
      <c r="R1" s="2"/>
      <c r="S1" s="2" t="s">
        <v>11</v>
      </c>
      <c r="T1" s="2"/>
      <c r="U1" s="2" t="s">
        <v>183</v>
      </c>
    </row>
    <row r="2" spans="1:21" ht="16" x14ac:dyDescent="0.2">
      <c r="A2" s="3">
        <v>1</v>
      </c>
      <c r="B2" s="4" t="s">
        <v>104</v>
      </c>
      <c r="C2" s="4" t="s">
        <v>79</v>
      </c>
      <c r="D2" s="4" t="s">
        <v>105</v>
      </c>
      <c r="E2" s="4" t="s">
        <v>15</v>
      </c>
      <c r="F2" s="23">
        <f>+VLOOKUP(E2,Sheet1!$U$10:$W$105,3,FALSE)-72</f>
        <v>-4</v>
      </c>
      <c r="G2" s="4" t="s">
        <v>20</v>
      </c>
      <c r="H2" s="23">
        <f>+VLOOKUP(G2,Sheet1!$U$10:$W$105,3,FALSE)-72</f>
        <v>2</v>
      </c>
      <c r="I2" s="4" t="s">
        <v>58</v>
      </c>
      <c r="J2" s="23">
        <f>+VLOOKUP(I2,Sheet1!$U$10:$W$105,3,FALSE)-72</f>
        <v>1</v>
      </c>
      <c r="K2" s="4" t="s">
        <v>44</v>
      </c>
      <c r="L2" s="23">
        <f>+VLOOKUP(K2,Sheet1!$U$10:$W$105,3,FALSE)-72</f>
        <v>2</v>
      </c>
      <c r="M2" s="4" t="s">
        <v>30</v>
      </c>
      <c r="N2" s="23">
        <f>+VLOOKUP(M2,Sheet1!$U$10:$W$105,3,FALSE)-72</f>
        <v>0</v>
      </c>
      <c r="O2" s="4" t="s">
        <v>30</v>
      </c>
      <c r="P2" s="23">
        <f>+VLOOKUP(O2,Sheet1!$U$10:$W$105,3,FALSE)-72</f>
        <v>0</v>
      </c>
      <c r="Q2" s="4" t="s">
        <v>74</v>
      </c>
      <c r="R2" s="23">
        <f>+VLOOKUP(Q2,Sheet1!$U$10:$W$105,3,FALSE)-72</f>
        <v>1</v>
      </c>
      <c r="S2" s="4" t="s">
        <v>24</v>
      </c>
      <c r="T2" s="23">
        <f>+VLOOKUP(S2,Sheet1!$U$10:$W$105,3,FALSE)-72</f>
        <v>0</v>
      </c>
      <c r="U2" s="23">
        <f>IFERROR(SMALL(E2:T2,1)+SMALL(E2:T2,2)+SMALL(E2:T2,3),IFERROR(SMALL(E2:T2,1)+SMALL(E2:T2,2),IFERROR(SMALL(E2:T2,1),"-")))</f>
        <v>-4</v>
      </c>
    </row>
    <row r="3" spans="1:21" ht="16" x14ac:dyDescent="0.2">
      <c r="A3" s="5">
        <v>2</v>
      </c>
      <c r="B3" s="6" t="s">
        <v>106</v>
      </c>
      <c r="C3" s="6" t="s">
        <v>95</v>
      </c>
      <c r="D3" s="6" t="s">
        <v>96</v>
      </c>
      <c r="E3" s="6" t="s">
        <v>27</v>
      </c>
      <c r="F3" s="6">
        <f>+VLOOKUP(E3,Sheet1!$U$10:$W$105,3,FALSE)-72</f>
        <v>1</v>
      </c>
      <c r="G3" s="6" t="s">
        <v>27</v>
      </c>
      <c r="H3" s="6">
        <f>+VLOOKUP(G3,Sheet1!$U$10:$W$105,3,FALSE)-72</f>
        <v>1</v>
      </c>
      <c r="I3" s="6" t="s">
        <v>20</v>
      </c>
      <c r="J3" s="6">
        <f>+VLOOKUP(I3,Sheet1!$U$10:$W$105,3,FALSE)-72</f>
        <v>2</v>
      </c>
      <c r="K3" s="6" t="s">
        <v>20</v>
      </c>
      <c r="L3" s="6">
        <f>+VLOOKUP(K3,Sheet1!$U$10:$W$105,3,FALSE)-72</f>
        <v>2</v>
      </c>
      <c r="M3" s="6" t="s">
        <v>22</v>
      </c>
      <c r="N3" s="6">
        <f>+VLOOKUP(M3,Sheet1!$U$10:$W$105,3,FALSE)-72</f>
        <v>3</v>
      </c>
      <c r="O3" s="6" t="s">
        <v>22</v>
      </c>
      <c r="P3" s="6">
        <f>+VLOOKUP(O3,Sheet1!$U$10:$W$105,3,FALSE)-72</f>
        <v>3</v>
      </c>
      <c r="Q3" s="6" t="s">
        <v>24</v>
      </c>
      <c r="R3" s="6">
        <f>+VLOOKUP(Q3,Sheet1!$U$10:$W$105,3,FALSE)-72</f>
        <v>0</v>
      </c>
      <c r="S3" s="6" t="s">
        <v>170</v>
      </c>
      <c r="T3" s="6">
        <f>+VLOOKUP(S3,Sheet1!$U$10:$W$105,3,FALSE)-72</f>
        <v>0</v>
      </c>
      <c r="U3" s="6">
        <f t="shared" ref="U3:U40" si="0">IFERROR(SMALL(E3:T3,1)+SMALL(E3:T3,2)+SMALL(E3:T3,3),IFERROR(SMALL(E3:T3,1)+SMALL(E3:T3,2),IFERROR(SMALL(E3:T3,1),"-")))</f>
        <v>1</v>
      </c>
    </row>
    <row r="4" spans="1:21" ht="16" x14ac:dyDescent="0.2">
      <c r="A4" s="3">
        <v>3</v>
      </c>
      <c r="B4" s="4" t="s">
        <v>109</v>
      </c>
      <c r="C4" s="4" t="s">
        <v>107</v>
      </c>
      <c r="D4" s="4" t="s">
        <v>108</v>
      </c>
      <c r="E4" s="4" t="s">
        <v>34</v>
      </c>
      <c r="F4" s="4">
        <f>+VLOOKUP(E4,Sheet1!$U$10:$W$105,3,FALSE)-72</f>
        <v>0</v>
      </c>
      <c r="G4" s="4" t="s">
        <v>37</v>
      </c>
      <c r="H4" s="4">
        <f>+VLOOKUP(G4,Sheet1!$U$10:$W$105,3,FALSE)-72</f>
        <v>1</v>
      </c>
      <c r="I4" s="4" t="s">
        <v>37</v>
      </c>
      <c r="J4" s="4">
        <f>+VLOOKUP(I4,Sheet1!$U$10:$W$105,3,FALSE)-72</f>
        <v>1</v>
      </c>
      <c r="K4" s="4" t="s">
        <v>20</v>
      </c>
      <c r="L4" s="4">
        <f>+VLOOKUP(K4,Sheet1!$U$10:$W$105,3,FALSE)-72</f>
        <v>2</v>
      </c>
      <c r="M4" s="4" t="s">
        <v>165</v>
      </c>
      <c r="N4" s="4">
        <f>+VLOOKUP(M4,Sheet1!$U$10:$W$105,3,FALSE)-72</f>
        <v>3</v>
      </c>
      <c r="O4" s="4" t="s">
        <v>21</v>
      </c>
      <c r="P4" s="4">
        <f>+VLOOKUP(O4,Sheet1!$U$10:$W$105,3,FALSE)-72</f>
        <v>2</v>
      </c>
      <c r="Q4" s="4" t="s">
        <v>64</v>
      </c>
      <c r="R4" s="4">
        <f>+VLOOKUP(Q4,Sheet1!$U$10:$W$105,3,FALSE)-72</f>
        <v>3</v>
      </c>
      <c r="S4" s="4" t="s">
        <v>174</v>
      </c>
      <c r="T4" s="4">
        <f>+VLOOKUP(S4,Sheet1!$U$10:$W$105,3,FALSE)-72</f>
        <v>5</v>
      </c>
      <c r="U4" s="4">
        <f t="shared" si="0"/>
        <v>2</v>
      </c>
    </row>
    <row r="5" spans="1:21" ht="16" x14ac:dyDescent="0.2">
      <c r="A5" s="5">
        <v>4</v>
      </c>
      <c r="B5" s="6" t="s">
        <v>110</v>
      </c>
      <c r="C5" s="6" t="s">
        <v>77</v>
      </c>
      <c r="D5" s="6" t="s">
        <v>78</v>
      </c>
      <c r="E5" s="6" t="s">
        <v>15</v>
      </c>
      <c r="F5" s="6">
        <f>+VLOOKUP(E5,Sheet1!$U$10:$W$105,3,FALSE)-72</f>
        <v>-4</v>
      </c>
      <c r="G5" s="6" t="s">
        <v>33</v>
      </c>
      <c r="H5" s="6">
        <f>+VLOOKUP(G5,Sheet1!$U$10:$W$105,3,FALSE)-72</f>
        <v>1</v>
      </c>
      <c r="I5" s="6" t="s">
        <v>37</v>
      </c>
      <c r="J5" s="6">
        <f>+VLOOKUP(I5,Sheet1!$U$10:$W$105,3,FALSE)-72</f>
        <v>1</v>
      </c>
      <c r="K5" s="6" t="s">
        <v>41</v>
      </c>
      <c r="L5" s="6">
        <f>+VLOOKUP(K5,Sheet1!$U$10:$W$105,3,FALSE)-72</f>
        <v>7</v>
      </c>
      <c r="M5" s="6" t="s">
        <v>42</v>
      </c>
      <c r="N5" s="6">
        <f>+VLOOKUP(M5,Sheet1!$U$10:$W$105,3,FALSE)-72</f>
        <v>-2</v>
      </c>
      <c r="O5" s="6" t="s">
        <v>42</v>
      </c>
      <c r="P5" s="6">
        <f>+VLOOKUP(O5,Sheet1!$U$10:$W$105,3,FALSE)-72</f>
        <v>-2</v>
      </c>
      <c r="Q5" s="6" t="s">
        <v>38</v>
      </c>
      <c r="R5" s="6">
        <f>+VLOOKUP(Q5,Sheet1!$U$10:$W$105,3,FALSE)-72</f>
        <v>-4</v>
      </c>
      <c r="S5" s="6" t="s">
        <v>171</v>
      </c>
      <c r="T5" s="6">
        <f>+VLOOKUP(S5,Sheet1!$U$10:$W$105,3,FALSE)-72</f>
        <v>6</v>
      </c>
      <c r="U5" s="6">
        <f t="shared" si="0"/>
        <v>-10</v>
      </c>
    </row>
    <row r="6" spans="1:21" ht="16" x14ac:dyDescent="0.2">
      <c r="A6" s="3">
        <v>5</v>
      </c>
      <c r="B6" s="4" t="s">
        <v>146</v>
      </c>
      <c r="C6" s="4" t="s">
        <v>59</v>
      </c>
      <c r="D6" s="4" t="s">
        <v>60</v>
      </c>
      <c r="E6" s="4" t="s">
        <v>33</v>
      </c>
      <c r="F6" s="4">
        <f>+VLOOKUP(E6,Sheet1!$U$10:$W$105,3,FALSE)-72</f>
        <v>1</v>
      </c>
      <c r="G6" s="4" t="s">
        <v>33</v>
      </c>
      <c r="H6" s="4">
        <f>+VLOOKUP(G6,Sheet1!$U$10:$W$105,3,FALSE)-72</f>
        <v>1</v>
      </c>
      <c r="I6" s="4" t="s">
        <v>54</v>
      </c>
      <c r="J6" s="4">
        <f>+VLOOKUP(I6,Sheet1!$U$10:$W$105,3,FALSE)-72</f>
        <v>-1</v>
      </c>
      <c r="K6" s="4" t="s">
        <v>41</v>
      </c>
      <c r="L6" s="4">
        <f>+VLOOKUP(K6,Sheet1!$U$10:$W$105,3,FALSE)-72</f>
        <v>7</v>
      </c>
      <c r="M6" s="4" t="s">
        <v>41</v>
      </c>
      <c r="N6" s="4">
        <f>+VLOOKUP(M6,Sheet1!$U$10:$W$105,3,FALSE)-72</f>
        <v>7</v>
      </c>
      <c r="O6" s="4" t="s">
        <v>165</v>
      </c>
      <c r="P6" s="4">
        <f>+VLOOKUP(O6,Sheet1!$U$10:$W$105,3,FALSE)-72</f>
        <v>3</v>
      </c>
      <c r="Q6" s="4" t="s">
        <v>75</v>
      </c>
      <c r="R6" s="4">
        <f>+VLOOKUP(Q6,Sheet1!$U$10:$W$105,3,FALSE)-72</f>
        <v>-1</v>
      </c>
      <c r="S6" s="4" t="s">
        <v>21</v>
      </c>
      <c r="T6" s="4">
        <f>+VLOOKUP(S6,Sheet1!$U$10:$W$105,3,FALSE)-72</f>
        <v>2</v>
      </c>
      <c r="U6" s="4">
        <f t="shared" si="0"/>
        <v>-1</v>
      </c>
    </row>
    <row r="7" spans="1:21" ht="16" x14ac:dyDescent="0.2">
      <c r="A7" s="5">
        <v>6</v>
      </c>
      <c r="B7" s="6" t="s">
        <v>111</v>
      </c>
      <c r="C7" s="6" t="s">
        <v>84</v>
      </c>
      <c r="D7" s="6" t="s">
        <v>85</v>
      </c>
      <c r="E7" s="6" t="s">
        <v>32</v>
      </c>
      <c r="F7" s="6">
        <f>+VLOOKUP(E7,Sheet1!$U$10:$W$105,3,FALSE)-72</f>
        <v>-1</v>
      </c>
      <c r="G7" s="6" t="s">
        <v>32</v>
      </c>
      <c r="H7" s="6">
        <f>+VLOOKUP(G7,Sheet1!$U$10:$W$105,3,FALSE)-72</f>
        <v>-1</v>
      </c>
      <c r="I7" s="6" t="s">
        <v>74</v>
      </c>
      <c r="J7" s="6">
        <f>+VLOOKUP(I7,Sheet1!$U$10:$W$105,3,FALSE)-72</f>
        <v>1</v>
      </c>
      <c r="K7" s="6" t="s">
        <v>74</v>
      </c>
      <c r="L7" s="6">
        <f>+VLOOKUP(K7,Sheet1!$U$10:$W$105,3,FALSE)-72</f>
        <v>1</v>
      </c>
      <c r="M7" s="6" t="s">
        <v>37</v>
      </c>
      <c r="N7" s="6">
        <f>+VLOOKUP(M7,Sheet1!$U$10:$W$105,3,FALSE)-72</f>
        <v>1</v>
      </c>
      <c r="O7" s="6" t="s">
        <v>37</v>
      </c>
      <c r="P7" s="6">
        <f>+VLOOKUP(O7,Sheet1!$U$10:$W$105,3,FALSE)-72</f>
        <v>1</v>
      </c>
      <c r="Q7" s="6" t="s">
        <v>50</v>
      </c>
      <c r="R7" s="6">
        <f>+VLOOKUP(Q7,Sheet1!$U$10:$W$105,3,FALSE)-72</f>
        <v>-2</v>
      </c>
      <c r="S7" s="6" t="s">
        <v>50</v>
      </c>
      <c r="T7" s="6">
        <f>+VLOOKUP(S7,Sheet1!$U$10:$W$105,3,FALSE)-72</f>
        <v>-2</v>
      </c>
      <c r="U7" s="6">
        <f t="shared" si="0"/>
        <v>-5</v>
      </c>
    </row>
    <row r="8" spans="1:21" ht="16" x14ac:dyDescent="0.2">
      <c r="A8" s="3">
        <v>7</v>
      </c>
      <c r="B8" s="4" t="s">
        <v>112</v>
      </c>
      <c r="C8" s="4" t="s">
        <v>56</v>
      </c>
      <c r="D8" s="4" t="s">
        <v>57</v>
      </c>
      <c r="E8" s="4" t="s">
        <v>34</v>
      </c>
      <c r="F8" s="4">
        <f>+VLOOKUP(E8,Sheet1!$U$10:$W$105,3,FALSE)-72</f>
        <v>0</v>
      </c>
      <c r="G8" s="4" t="s">
        <v>34</v>
      </c>
      <c r="H8" s="4">
        <f>+VLOOKUP(G8,Sheet1!$U$10:$W$105,3,FALSE)-72</f>
        <v>0</v>
      </c>
      <c r="I8" s="4" t="s">
        <v>34</v>
      </c>
      <c r="J8" s="4">
        <f>+VLOOKUP(I8,Sheet1!$U$10:$W$105,3,FALSE)-72</f>
        <v>0</v>
      </c>
      <c r="K8" s="4" t="s">
        <v>29</v>
      </c>
      <c r="L8" s="4">
        <f>+VLOOKUP(K8,Sheet1!$U$10:$W$105,3,FALSE)-72</f>
        <v>-1</v>
      </c>
      <c r="M8" s="4" t="s">
        <v>170</v>
      </c>
      <c r="N8" s="4">
        <f>+VLOOKUP(M8,Sheet1!$U$10:$W$105,3,FALSE)-72</f>
        <v>0</v>
      </c>
      <c r="O8" s="4" t="s">
        <v>24</v>
      </c>
      <c r="P8" s="4">
        <f>+VLOOKUP(O8,Sheet1!$U$10:$W$105,3,FALSE)-72</f>
        <v>0</v>
      </c>
      <c r="Q8" s="4" t="s">
        <v>97</v>
      </c>
      <c r="R8" s="4">
        <f>+VLOOKUP(Q8,Sheet1!$U$10:$W$105,3,FALSE)-72</f>
        <v>0</v>
      </c>
      <c r="S8" s="4" t="s">
        <v>175</v>
      </c>
      <c r="T8" s="4">
        <f>+VLOOKUP(S8,Sheet1!$U$10:$W$105,3,FALSE)-72</f>
        <v>-1</v>
      </c>
      <c r="U8" s="4">
        <f t="shared" si="0"/>
        <v>-2</v>
      </c>
    </row>
    <row r="9" spans="1:21" ht="16" x14ac:dyDescent="0.2">
      <c r="A9" s="5">
        <v>8</v>
      </c>
      <c r="B9" s="6" t="s">
        <v>113</v>
      </c>
      <c r="C9" s="6" t="s">
        <v>65</v>
      </c>
      <c r="D9" s="6" t="s">
        <v>66</v>
      </c>
      <c r="E9" s="6" t="s">
        <v>27</v>
      </c>
      <c r="F9" s="6">
        <f>+VLOOKUP(E9,Sheet1!$U$10:$W$105,3,FALSE)-72</f>
        <v>1</v>
      </c>
      <c r="G9" s="6" t="s">
        <v>27</v>
      </c>
      <c r="H9" s="6">
        <f>+VLOOKUP(G9,Sheet1!$U$10:$W$105,3,FALSE)-72</f>
        <v>1</v>
      </c>
      <c r="I9" s="6" t="s">
        <v>47</v>
      </c>
      <c r="J9" s="6">
        <f>+VLOOKUP(I9,Sheet1!$U$10:$W$105,3,FALSE)-72</f>
        <v>-3</v>
      </c>
      <c r="K9" s="6" t="s">
        <v>54</v>
      </c>
      <c r="L9" s="6">
        <f>+VLOOKUP(K9,Sheet1!$U$10:$W$105,3,FALSE)-72</f>
        <v>-1</v>
      </c>
      <c r="M9" s="6" t="s">
        <v>38</v>
      </c>
      <c r="N9" s="6">
        <f>+VLOOKUP(M9,Sheet1!$U$10:$W$105,3,FALSE)-72</f>
        <v>-4</v>
      </c>
      <c r="O9" s="6" t="s">
        <v>94</v>
      </c>
      <c r="P9" s="6">
        <f>+VLOOKUP(O9,Sheet1!$U$10:$W$105,3,FALSE)-72</f>
        <v>6</v>
      </c>
      <c r="Q9" s="6" t="s">
        <v>26</v>
      </c>
      <c r="R9" s="6">
        <f>+VLOOKUP(Q9,Sheet1!$U$10:$W$105,3,FALSE)-72</f>
        <v>19</v>
      </c>
      <c r="S9" s="6" t="s">
        <v>26</v>
      </c>
      <c r="T9" s="6">
        <f>+VLOOKUP(S9,Sheet1!$U$10:$W$105,3,FALSE)-72</f>
        <v>19</v>
      </c>
      <c r="U9" s="6">
        <f t="shared" si="0"/>
        <v>-8</v>
      </c>
    </row>
    <row r="10" spans="1:21" ht="16" x14ac:dyDescent="0.2">
      <c r="A10" s="3">
        <v>9</v>
      </c>
      <c r="B10" s="4" t="s">
        <v>114</v>
      </c>
      <c r="C10" s="4" t="s">
        <v>115</v>
      </c>
      <c r="D10" s="4" t="s">
        <v>116</v>
      </c>
      <c r="E10" s="4" t="s">
        <v>34</v>
      </c>
      <c r="F10" s="4">
        <f>+VLOOKUP(E10,Sheet1!$U$10:$W$105,3,FALSE)-72</f>
        <v>0</v>
      </c>
      <c r="G10" s="4" t="s">
        <v>34</v>
      </c>
      <c r="H10" s="4">
        <f>+VLOOKUP(G10,Sheet1!$U$10:$W$105,3,FALSE)-72</f>
        <v>0</v>
      </c>
      <c r="I10" s="4" t="s">
        <v>41</v>
      </c>
      <c r="J10" s="4">
        <f>+VLOOKUP(I10,Sheet1!$U$10:$W$105,3,FALSE)-72</f>
        <v>7</v>
      </c>
      <c r="K10" s="4" t="s">
        <v>165</v>
      </c>
      <c r="L10" s="4">
        <f>+VLOOKUP(K10,Sheet1!$U$10:$W$105,3,FALSE)-72</f>
        <v>3</v>
      </c>
      <c r="M10" s="4" t="s">
        <v>165</v>
      </c>
      <c r="N10" s="4">
        <f>+VLOOKUP(M10,Sheet1!$U$10:$W$105,3,FALSE)-72</f>
        <v>3</v>
      </c>
      <c r="O10" s="4" t="s">
        <v>21</v>
      </c>
      <c r="P10" s="4">
        <f>+VLOOKUP(O10,Sheet1!$U$10:$W$105,3,FALSE)-72</f>
        <v>2</v>
      </c>
      <c r="Q10" s="4" t="s">
        <v>21</v>
      </c>
      <c r="R10" s="4">
        <f>+VLOOKUP(Q10,Sheet1!$U$10:$W$105,3,FALSE)-72</f>
        <v>2</v>
      </c>
      <c r="S10" s="4" t="s">
        <v>26</v>
      </c>
      <c r="T10" s="4">
        <f>+VLOOKUP(S10,Sheet1!$U$10:$W$105,3,FALSE)-72</f>
        <v>19</v>
      </c>
      <c r="U10" s="4">
        <f t="shared" si="0"/>
        <v>2</v>
      </c>
    </row>
    <row r="11" spans="1:21" ht="16" x14ac:dyDescent="0.2">
      <c r="A11" s="5">
        <v>10</v>
      </c>
      <c r="B11" s="6" t="s">
        <v>119</v>
      </c>
      <c r="C11" s="6" t="s">
        <v>117</v>
      </c>
      <c r="D11" s="6" t="s">
        <v>118</v>
      </c>
      <c r="E11" s="6" t="s">
        <v>43</v>
      </c>
      <c r="F11" s="6">
        <f>+VLOOKUP(E11,Sheet1!$U$10:$W$105,3,FALSE)-72</f>
        <v>0</v>
      </c>
      <c r="G11" s="6" t="s">
        <v>58</v>
      </c>
      <c r="H11" s="6">
        <f>+VLOOKUP(G11,Sheet1!$U$10:$W$105,3,FALSE)-72</f>
        <v>1</v>
      </c>
      <c r="I11" s="6" t="s">
        <v>32</v>
      </c>
      <c r="J11" s="6">
        <f>+VLOOKUP(I11,Sheet1!$U$10:$W$105,3,FALSE)-72</f>
        <v>-1</v>
      </c>
      <c r="K11" s="6" t="s">
        <v>75</v>
      </c>
      <c r="L11" s="6">
        <f>+VLOOKUP(K11,Sheet1!$U$10:$W$105,3,FALSE)-72</f>
        <v>-1</v>
      </c>
      <c r="M11" s="6" t="s">
        <v>178</v>
      </c>
      <c r="N11" s="6">
        <f>+VLOOKUP(M11,Sheet1!$U$10:$W$105,3,FALSE)-72</f>
        <v>6</v>
      </c>
      <c r="O11" s="6" t="s">
        <v>26</v>
      </c>
      <c r="P11" s="6">
        <f>+VLOOKUP(O11,Sheet1!$U$10:$W$105,3,FALSE)-72</f>
        <v>19</v>
      </c>
      <c r="Q11" s="6" t="s">
        <v>26</v>
      </c>
      <c r="R11" s="6">
        <f>+VLOOKUP(Q11,Sheet1!$U$10:$W$105,3,FALSE)-72</f>
        <v>19</v>
      </c>
      <c r="S11" s="6" t="s">
        <v>26</v>
      </c>
      <c r="T11" s="6">
        <f>+VLOOKUP(S11,Sheet1!$U$10:$W$105,3,FALSE)-72</f>
        <v>19</v>
      </c>
      <c r="U11" s="6">
        <f t="shared" si="0"/>
        <v>-2</v>
      </c>
    </row>
    <row r="12" spans="1:21" ht="16" x14ac:dyDescent="0.2">
      <c r="A12" s="3">
        <v>11</v>
      </c>
      <c r="B12" s="4" t="s">
        <v>260</v>
      </c>
      <c r="C12" s="7" t="s">
        <v>121</v>
      </c>
      <c r="D12" s="4" t="s">
        <v>100</v>
      </c>
      <c r="E12" s="4" t="s">
        <v>69</v>
      </c>
      <c r="F12" s="4">
        <f>+VLOOKUP(E12,Sheet1!$U$10:$W$105,3,FALSE)-72</f>
        <v>3</v>
      </c>
      <c r="G12" s="4" t="s">
        <v>47</v>
      </c>
      <c r="H12" s="4">
        <f>+VLOOKUP(G12,Sheet1!$U$10:$W$105,3,FALSE)-72</f>
        <v>-3</v>
      </c>
      <c r="I12" s="4" t="s">
        <v>20</v>
      </c>
      <c r="J12" s="4">
        <f>+VLOOKUP(I12,Sheet1!$U$10:$W$105,3,FALSE)-72</f>
        <v>2</v>
      </c>
      <c r="K12" s="4" t="s">
        <v>74</v>
      </c>
      <c r="L12" s="4">
        <f>+VLOOKUP(K12,Sheet1!$U$10:$W$105,3,FALSE)-72</f>
        <v>1</v>
      </c>
      <c r="M12" s="4" t="s">
        <v>29</v>
      </c>
      <c r="N12" s="4">
        <f>+VLOOKUP(M12,Sheet1!$U$10:$W$105,3,FALSE)-72</f>
        <v>-1</v>
      </c>
      <c r="O12" s="4" t="s">
        <v>51</v>
      </c>
      <c r="P12" s="4">
        <f>+VLOOKUP(O12,Sheet1!$U$10:$W$105,3,FALSE)-72</f>
        <v>-7</v>
      </c>
      <c r="Q12" s="4" t="s">
        <v>172</v>
      </c>
      <c r="R12" s="4">
        <f>+VLOOKUP(Q12,Sheet1!$U$10:$W$105,3,FALSE)-72</f>
        <v>4</v>
      </c>
      <c r="S12" s="4" t="s">
        <v>173</v>
      </c>
      <c r="T12" s="4">
        <f>+VLOOKUP(S12,Sheet1!$U$10:$W$105,3,FALSE)-72</f>
        <v>-2</v>
      </c>
      <c r="U12" s="4">
        <f t="shared" si="0"/>
        <v>-12</v>
      </c>
    </row>
    <row r="13" spans="1:21" ht="16" x14ac:dyDescent="0.2">
      <c r="A13" s="5">
        <v>12</v>
      </c>
      <c r="B13" s="6" t="s">
        <v>122</v>
      </c>
      <c r="C13" s="6" t="s">
        <v>123</v>
      </c>
      <c r="D13" s="6" t="s">
        <v>87</v>
      </c>
      <c r="E13" s="6" t="s">
        <v>15</v>
      </c>
      <c r="F13" s="6">
        <f>+VLOOKUP(E13,Sheet1!$U$10:$W$105,3,FALSE)-72</f>
        <v>-4</v>
      </c>
      <c r="G13" s="6" t="s">
        <v>34</v>
      </c>
      <c r="H13" s="6">
        <f>+VLOOKUP(G13,Sheet1!$U$10:$W$105,3,FALSE)-72</f>
        <v>0</v>
      </c>
      <c r="I13" s="6" t="s">
        <v>32</v>
      </c>
      <c r="J13" s="6">
        <f>+VLOOKUP(I13,Sheet1!$U$10:$W$105,3,FALSE)-72</f>
        <v>-1</v>
      </c>
      <c r="K13" s="6" t="s">
        <v>47</v>
      </c>
      <c r="L13" s="6">
        <f>+VLOOKUP(K13,Sheet1!$U$10:$W$105,3,FALSE)-72</f>
        <v>-3</v>
      </c>
      <c r="M13" s="6" t="s">
        <v>22</v>
      </c>
      <c r="N13" s="6">
        <f>+VLOOKUP(M13,Sheet1!$U$10:$W$105,3,FALSE)-72</f>
        <v>3</v>
      </c>
      <c r="O13" s="6" t="s">
        <v>76</v>
      </c>
      <c r="P13" s="6">
        <f>+VLOOKUP(O13,Sheet1!$U$10:$W$105,3,FALSE)-72</f>
        <v>18</v>
      </c>
      <c r="Q13" s="6" t="s">
        <v>26</v>
      </c>
      <c r="R13" s="6">
        <f>+VLOOKUP(Q13,Sheet1!$U$10:$W$105,3,FALSE)-72</f>
        <v>19</v>
      </c>
      <c r="S13" s="6" t="s">
        <v>26</v>
      </c>
      <c r="T13" s="6">
        <f>+VLOOKUP(S13,Sheet1!$U$10:$W$105,3,FALSE)-72</f>
        <v>19</v>
      </c>
      <c r="U13" s="6">
        <f t="shared" si="0"/>
        <v>-8</v>
      </c>
    </row>
    <row r="14" spans="1:21" ht="16" x14ac:dyDescent="0.2">
      <c r="A14" s="3">
        <v>13</v>
      </c>
      <c r="B14" s="4" t="s">
        <v>124</v>
      </c>
      <c r="C14" s="4" t="s">
        <v>12</v>
      </c>
      <c r="D14" s="4" t="s">
        <v>13</v>
      </c>
      <c r="E14" s="4" t="s">
        <v>14</v>
      </c>
      <c r="F14" s="4">
        <f>+VLOOKUP(E14,Sheet1!$U$10:$W$105,3,FALSE)-72</f>
        <v>0</v>
      </c>
      <c r="G14" s="4" t="s">
        <v>14</v>
      </c>
      <c r="H14" s="4">
        <f>+VLOOKUP(G14,Sheet1!$U$10:$W$105,3,FALSE)-72</f>
        <v>0</v>
      </c>
      <c r="I14" s="4" t="s">
        <v>14</v>
      </c>
      <c r="J14" s="4">
        <f>+VLOOKUP(I14,Sheet1!$U$10:$W$105,3,FALSE)-72</f>
        <v>0</v>
      </c>
      <c r="K14" s="4" t="s">
        <v>42</v>
      </c>
      <c r="L14" s="4">
        <f>+VLOOKUP(K14,Sheet1!$U$10:$W$105,3,FALSE)-72</f>
        <v>-2</v>
      </c>
      <c r="M14" s="4" t="s">
        <v>42</v>
      </c>
      <c r="N14" s="4">
        <f>+VLOOKUP(M14,Sheet1!$U$10:$W$105,3,FALSE)-72</f>
        <v>-2</v>
      </c>
      <c r="O14" s="4" t="s">
        <v>42</v>
      </c>
      <c r="P14" s="4">
        <f>+VLOOKUP(O14,Sheet1!$U$10:$W$105,3,FALSE)-72</f>
        <v>-2</v>
      </c>
      <c r="Q14" s="4" t="s">
        <v>34</v>
      </c>
      <c r="R14" s="4">
        <f>+VLOOKUP(Q14,Sheet1!$U$10:$W$105,3,FALSE)-72</f>
        <v>0</v>
      </c>
      <c r="S14" s="4" t="s">
        <v>26</v>
      </c>
      <c r="T14" s="4">
        <f>+VLOOKUP(S14,Sheet1!$U$10:$W$105,3,FALSE)-72</f>
        <v>19</v>
      </c>
      <c r="U14" s="4">
        <f t="shared" si="0"/>
        <v>-6</v>
      </c>
    </row>
    <row r="15" spans="1:21" ht="16" x14ac:dyDescent="0.2">
      <c r="A15" s="5">
        <v>14</v>
      </c>
      <c r="B15" s="6" t="s">
        <v>125</v>
      </c>
      <c r="C15" s="6" t="s">
        <v>39</v>
      </c>
      <c r="D15" s="6" t="s">
        <v>40</v>
      </c>
      <c r="E15" s="6" t="s">
        <v>15</v>
      </c>
      <c r="F15" s="6">
        <f>+VLOOKUP(E15,Sheet1!$U$10:$W$105,3,FALSE)-72</f>
        <v>-4</v>
      </c>
      <c r="G15" s="6" t="s">
        <v>41</v>
      </c>
      <c r="H15" s="6">
        <f>+VLOOKUP(G15,Sheet1!$U$10:$W$105,3,FALSE)-72</f>
        <v>7</v>
      </c>
      <c r="I15" s="6" t="s">
        <v>41</v>
      </c>
      <c r="J15" s="6">
        <f>+VLOOKUP(I15,Sheet1!$U$10:$W$105,3,FALSE)-72</f>
        <v>7</v>
      </c>
      <c r="K15" s="6" t="s">
        <v>41</v>
      </c>
      <c r="L15" s="6">
        <f>+VLOOKUP(K15,Sheet1!$U$10:$W$105,3,FALSE)-72</f>
        <v>7</v>
      </c>
      <c r="M15" s="6" t="s">
        <v>23</v>
      </c>
      <c r="N15" s="6">
        <f>+VLOOKUP(M15,Sheet1!$U$10:$W$105,3,FALSE)-72</f>
        <v>-1</v>
      </c>
      <c r="O15" s="6" t="s">
        <v>23</v>
      </c>
      <c r="P15" s="6">
        <f>+VLOOKUP(O15,Sheet1!$U$10:$W$105,3,FALSE)-72</f>
        <v>-1</v>
      </c>
      <c r="Q15" s="6" t="s">
        <v>23</v>
      </c>
      <c r="R15" s="6">
        <f>+VLOOKUP(Q15,Sheet1!$U$10:$W$105,3,FALSE)-72</f>
        <v>-1</v>
      </c>
      <c r="S15" s="6" t="s">
        <v>20</v>
      </c>
      <c r="T15" s="6">
        <f>+VLOOKUP(S15,Sheet1!$U$10:$W$105,3,FALSE)-72</f>
        <v>2</v>
      </c>
      <c r="U15" s="6">
        <f t="shared" si="0"/>
        <v>-6</v>
      </c>
    </row>
    <row r="16" spans="1:21" ht="16" x14ac:dyDescent="0.2">
      <c r="A16" s="3">
        <v>15</v>
      </c>
      <c r="B16" s="4" t="s">
        <v>126</v>
      </c>
      <c r="C16" s="4" t="s">
        <v>62</v>
      </c>
      <c r="D16" s="4" t="s">
        <v>63</v>
      </c>
      <c r="E16" s="4" t="s">
        <v>15</v>
      </c>
      <c r="F16" s="4">
        <f>+VLOOKUP(E16,Sheet1!$U$10:$W$105,3,FALSE)-72</f>
        <v>-4</v>
      </c>
      <c r="G16" s="4" t="s">
        <v>15</v>
      </c>
      <c r="H16" s="4">
        <f>+VLOOKUP(G16,Sheet1!$U$10:$W$105,3,FALSE)-72</f>
        <v>-4</v>
      </c>
      <c r="I16" s="4" t="s">
        <v>41</v>
      </c>
      <c r="J16" s="4">
        <f>+VLOOKUP(I16,Sheet1!$U$10:$W$105,3,FALSE)-72</f>
        <v>7</v>
      </c>
      <c r="K16" s="4" t="s">
        <v>41</v>
      </c>
      <c r="L16" s="4">
        <f>+VLOOKUP(K16,Sheet1!$U$10:$W$105,3,FALSE)-72</f>
        <v>7</v>
      </c>
      <c r="M16" s="4" t="s">
        <v>32</v>
      </c>
      <c r="N16" s="4">
        <f>+VLOOKUP(M16,Sheet1!$U$10:$W$105,3,FALSE)-72</f>
        <v>-1</v>
      </c>
      <c r="O16" s="4" t="s">
        <v>29</v>
      </c>
      <c r="P16" s="4">
        <f>+VLOOKUP(O16,Sheet1!$U$10:$W$105,3,FALSE)-72</f>
        <v>-1</v>
      </c>
      <c r="Q16" s="4" t="s">
        <v>171</v>
      </c>
      <c r="R16" s="4">
        <f>+VLOOKUP(Q16,Sheet1!$U$10:$W$105,3,FALSE)-72</f>
        <v>6</v>
      </c>
      <c r="S16" s="4" t="s">
        <v>171</v>
      </c>
      <c r="T16" s="4">
        <f>+VLOOKUP(S16,Sheet1!$U$10:$W$105,3,FALSE)-72</f>
        <v>6</v>
      </c>
      <c r="U16" s="4">
        <f t="shared" si="0"/>
        <v>-9</v>
      </c>
    </row>
    <row r="17" spans="1:21" ht="16" x14ac:dyDescent="0.2">
      <c r="A17" s="5">
        <v>16</v>
      </c>
      <c r="B17" s="6" t="s">
        <v>127</v>
      </c>
      <c r="C17" s="6" t="s">
        <v>80</v>
      </c>
      <c r="D17" s="6" t="s">
        <v>81</v>
      </c>
      <c r="E17" s="6" t="s">
        <v>34</v>
      </c>
      <c r="F17" s="6">
        <f>+VLOOKUP(E17,Sheet1!$U$10:$W$105,3,FALSE)-72</f>
        <v>0</v>
      </c>
      <c r="G17" s="6" t="s">
        <v>34</v>
      </c>
      <c r="H17" s="6">
        <f>+VLOOKUP(G17,Sheet1!$U$10:$W$105,3,FALSE)-72</f>
        <v>0</v>
      </c>
      <c r="I17" s="6" t="s">
        <v>34</v>
      </c>
      <c r="J17" s="6">
        <f>+VLOOKUP(I17,Sheet1!$U$10:$W$105,3,FALSE)-72</f>
        <v>0</v>
      </c>
      <c r="K17" s="6" t="s">
        <v>54</v>
      </c>
      <c r="L17" s="6">
        <f>+VLOOKUP(K17,Sheet1!$U$10:$W$105,3,FALSE)-72</f>
        <v>-1</v>
      </c>
      <c r="M17" s="6" t="s">
        <v>25</v>
      </c>
      <c r="N17" s="6">
        <f>+VLOOKUP(M17,Sheet1!$U$10:$W$105,3,FALSE)-72</f>
        <v>2</v>
      </c>
      <c r="O17" s="6" t="s">
        <v>26</v>
      </c>
      <c r="P17" s="6">
        <f>+VLOOKUP(O17,Sheet1!$U$10:$W$105,3,FALSE)-72</f>
        <v>19</v>
      </c>
      <c r="Q17" s="6" t="s">
        <v>26</v>
      </c>
      <c r="R17" s="6">
        <f>+VLOOKUP(Q17,Sheet1!$U$10:$W$105,3,FALSE)-72</f>
        <v>19</v>
      </c>
      <c r="S17" s="6" t="s">
        <v>26</v>
      </c>
      <c r="T17" s="6">
        <f>+VLOOKUP(S17,Sheet1!$U$10:$W$105,3,FALSE)-72</f>
        <v>19</v>
      </c>
      <c r="U17" s="6">
        <f t="shared" si="0"/>
        <v>-1</v>
      </c>
    </row>
    <row r="18" spans="1:21" ht="16" x14ac:dyDescent="0.2">
      <c r="A18" s="3">
        <v>17</v>
      </c>
      <c r="B18" s="4" t="s">
        <v>128</v>
      </c>
      <c r="C18" s="4" t="s">
        <v>129</v>
      </c>
      <c r="D18" s="4" t="s">
        <v>130</v>
      </c>
      <c r="E18" s="4" t="s">
        <v>15</v>
      </c>
      <c r="F18" s="4">
        <f>+VLOOKUP(E18,Sheet1!$U$10:$W$105,3,FALSE)-72</f>
        <v>-4</v>
      </c>
      <c r="G18" s="4" t="s">
        <v>54</v>
      </c>
      <c r="H18" s="4">
        <f>+VLOOKUP(G18,Sheet1!$U$10:$W$105,3,FALSE)-72</f>
        <v>-1</v>
      </c>
      <c r="I18" s="4" t="s">
        <v>26</v>
      </c>
      <c r="J18" s="4">
        <f>+VLOOKUP(I18,Sheet1!$U$10:$W$105,3,FALSE)-72</f>
        <v>19</v>
      </c>
      <c r="K18" s="4" t="s">
        <v>41</v>
      </c>
      <c r="L18" s="4">
        <f>+VLOOKUP(K18,Sheet1!$U$10:$W$105,3,FALSE)-72</f>
        <v>7</v>
      </c>
      <c r="M18" s="4" t="s">
        <v>34</v>
      </c>
      <c r="N18" s="4">
        <f>+VLOOKUP(M18,Sheet1!$U$10:$W$105,3,FALSE)-72</f>
        <v>0</v>
      </c>
      <c r="O18" s="4" t="s">
        <v>37</v>
      </c>
      <c r="P18" s="4">
        <f>+VLOOKUP(O18,Sheet1!$U$10:$W$105,3,FALSE)-72</f>
        <v>1</v>
      </c>
      <c r="Q18" s="4" t="s">
        <v>167</v>
      </c>
      <c r="R18" s="4">
        <f>+VLOOKUP(Q18,Sheet1!$U$10:$W$105,3,FALSE)-72</f>
        <v>2</v>
      </c>
      <c r="S18" s="4" t="s">
        <v>26</v>
      </c>
      <c r="T18" s="4">
        <f>+VLOOKUP(S18,Sheet1!$U$10:$W$105,3,FALSE)-72</f>
        <v>19</v>
      </c>
      <c r="U18" s="4">
        <f t="shared" si="0"/>
        <v>-5</v>
      </c>
    </row>
    <row r="19" spans="1:21" ht="16" x14ac:dyDescent="0.2">
      <c r="A19" s="5">
        <v>18</v>
      </c>
      <c r="B19" s="6" t="s">
        <v>131</v>
      </c>
      <c r="C19" s="6" t="s">
        <v>45</v>
      </c>
      <c r="D19" s="6" t="s">
        <v>46</v>
      </c>
      <c r="E19" s="6" t="s">
        <v>34</v>
      </c>
      <c r="F19" s="6">
        <f>+VLOOKUP(E19,Sheet1!$U$10:$W$105,3,FALSE)-72</f>
        <v>0</v>
      </c>
      <c r="G19" s="6" t="s">
        <v>47</v>
      </c>
      <c r="H19" s="6">
        <f>+VLOOKUP(G19,Sheet1!$U$10:$W$105,3,FALSE)-72</f>
        <v>-3</v>
      </c>
      <c r="I19" s="6" t="s">
        <v>27</v>
      </c>
      <c r="J19" s="6">
        <f>+VLOOKUP(I19,Sheet1!$U$10:$W$105,3,FALSE)-72</f>
        <v>1</v>
      </c>
      <c r="K19" s="6" t="s">
        <v>54</v>
      </c>
      <c r="L19" s="6">
        <f>+VLOOKUP(K19,Sheet1!$U$10:$W$105,3,FALSE)-72</f>
        <v>-1</v>
      </c>
      <c r="M19" s="6" t="s">
        <v>21</v>
      </c>
      <c r="N19" s="6">
        <f>+VLOOKUP(M19,Sheet1!$U$10:$W$105,3,FALSE)-72</f>
        <v>2</v>
      </c>
      <c r="O19" s="6" t="s">
        <v>31</v>
      </c>
      <c r="P19" s="6">
        <f>+VLOOKUP(O19,Sheet1!$U$10:$W$105,3,FALSE)-72</f>
        <v>1</v>
      </c>
      <c r="Q19" s="6" t="s">
        <v>26</v>
      </c>
      <c r="R19" s="6">
        <f>+VLOOKUP(Q19,Sheet1!$U$10:$W$105,3,FALSE)-72</f>
        <v>19</v>
      </c>
      <c r="S19" s="6" t="s">
        <v>26</v>
      </c>
      <c r="T19" s="6">
        <f>+VLOOKUP(S19,Sheet1!$U$10:$W$105,3,FALSE)-72</f>
        <v>19</v>
      </c>
      <c r="U19" s="6">
        <f t="shared" si="0"/>
        <v>-4</v>
      </c>
    </row>
    <row r="20" spans="1:21" ht="16" x14ac:dyDescent="0.2">
      <c r="A20" s="3">
        <v>19</v>
      </c>
      <c r="B20" s="4" t="s">
        <v>133</v>
      </c>
      <c r="C20" s="4" t="s">
        <v>134</v>
      </c>
      <c r="D20" s="4" t="s">
        <v>135</v>
      </c>
      <c r="E20" s="4" t="s">
        <v>43</v>
      </c>
      <c r="F20" s="4">
        <f>+VLOOKUP(E20,Sheet1!$U$10:$W$105,3,FALSE)-72</f>
        <v>0</v>
      </c>
      <c r="G20" s="4" t="s">
        <v>75</v>
      </c>
      <c r="H20" s="4">
        <f>+VLOOKUP(G20,Sheet1!$U$10:$W$105,3,FALSE)-72</f>
        <v>-1</v>
      </c>
      <c r="I20" s="4" t="s">
        <v>75</v>
      </c>
      <c r="J20" s="4">
        <f>+VLOOKUP(I20,Sheet1!$U$10:$W$105,3,FALSE)-72</f>
        <v>-1</v>
      </c>
      <c r="K20" s="4" t="s">
        <v>42</v>
      </c>
      <c r="L20" s="4">
        <f>+VLOOKUP(K20,Sheet1!$U$10:$W$105,3,FALSE)-72</f>
        <v>-2</v>
      </c>
      <c r="M20" s="4" t="s">
        <v>42</v>
      </c>
      <c r="N20" s="4">
        <f>+VLOOKUP(M20,Sheet1!$U$10:$W$105,3,FALSE)-72</f>
        <v>-2</v>
      </c>
      <c r="O20" s="4" t="s">
        <v>51</v>
      </c>
      <c r="P20" s="4">
        <f>+VLOOKUP(O20,Sheet1!$U$10:$W$105,3,FALSE)-72</f>
        <v>-7</v>
      </c>
      <c r="Q20" s="4" t="s">
        <v>26</v>
      </c>
      <c r="R20" s="4">
        <f>+VLOOKUP(Q20,Sheet1!$U$10:$W$105,3,FALSE)-72</f>
        <v>19</v>
      </c>
      <c r="S20" s="4" t="s">
        <v>26</v>
      </c>
      <c r="T20" s="4">
        <f>+VLOOKUP(S20,Sheet1!$U$10:$W$105,3,FALSE)-72</f>
        <v>19</v>
      </c>
      <c r="U20" s="4">
        <f t="shared" si="0"/>
        <v>-11</v>
      </c>
    </row>
    <row r="21" spans="1:21" ht="16" x14ac:dyDescent="0.2">
      <c r="A21" s="5">
        <v>20</v>
      </c>
      <c r="B21" s="6" t="s">
        <v>132</v>
      </c>
      <c r="C21" s="6" t="s">
        <v>134</v>
      </c>
      <c r="D21" s="6" t="s">
        <v>136</v>
      </c>
      <c r="E21" s="6" t="s">
        <v>34</v>
      </c>
      <c r="F21" s="6">
        <f>+VLOOKUP(E21,Sheet1!$U$10:$W$105,3,FALSE)-72</f>
        <v>0</v>
      </c>
      <c r="G21" s="6" t="s">
        <v>34</v>
      </c>
      <c r="H21" s="6">
        <f>+VLOOKUP(G21,Sheet1!$U$10:$W$105,3,FALSE)-72</f>
        <v>0</v>
      </c>
      <c r="I21" s="6" t="s">
        <v>34</v>
      </c>
      <c r="J21" s="6">
        <f>+VLOOKUP(I21,Sheet1!$U$10:$W$105,3,FALSE)-72</f>
        <v>0</v>
      </c>
      <c r="K21" s="6" t="s">
        <v>54</v>
      </c>
      <c r="L21" s="6">
        <f>+VLOOKUP(K21,Sheet1!$U$10:$W$105,3,FALSE)-72</f>
        <v>-1</v>
      </c>
      <c r="M21" s="6" t="s">
        <v>25</v>
      </c>
      <c r="N21" s="6">
        <f>+VLOOKUP(M21,Sheet1!$U$10:$W$105,3,FALSE)-72</f>
        <v>2</v>
      </c>
      <c r="O21" s="6" t="s">
        <v>26</v>
      </c>
      <c r="P21" s="6">
        <f>+VLOOKUP(O21,Sheet1!$U$10:$W$105,3,FALSE)-72</f>
        <v>19</v>
      </c>
      <c r="Q21" s="6" t="s">
        <v>26</v>
      </c>
      <c r="R21" s="6">
        <f>+VLOOKUP(Q21,Sheet1!$U$10:$W$105,3,FALSE)-72</f>
        <v>19</v>
      </c>
      <c r="S21" s="6" t="s">
        <v>26</v>
      </c>
      <c r="T21" s="6">
        <f>+VLOOKUP(S21,Sheet1!$U$10:$W$105,3,FALSE)-72</f>
        <v>19</v>
      </c>
      <c r="U21" s="6">
        <f t="shared" si="0"/>
        <v>-1</v>
      </c>
    </row>
    <row r="22" spans="1:21" ht="16" x14ac:dyDescent="0.2">
      <c r="A22" s="3">
        <v>21</v>
      </c>
      <c r="B22" s="4" t="s">
        <v>137</v>
      </c>
      <c r="C22" s="4" t="s">
        <v>35</v>
      </c>
      <c r="D22" s="4" t="s">
        <v>36</v>
      </c>
      <c r="E22" s="4" t="s">
        <v>15</v>
      </c>
      <c r="F22" s="4">
        <f>+VLOOKUP(E22,Sheet1!$U$10:$W$105,3,FALSE)-72</f>
        <v>-4</v>
      </c>
      <c r="G22" s="4" t="s">
        <v>34</v>
      </c>
      <c r="H22" s="4">
        <f>+VLOOKUP(G22,Sheet1!$U$10:$W$105,3,FALSE)-72</f>
        <v>0</v>
      </c>
      <c r="I22" s="4" t="s">
        <v>54</v>
      </c>
      <c r="J22" s="4">
        <f>+VLOOKUP(I22,Sheet1!$U$10:$W$105,3,FALSE)-72</f>
        <v>-1</v>
      </c>
      <c r="K22" s="4" t="s">
        <v>75</v>
      </c>
      <c r="L22" s="4">
        <f>+VLOOKUP(K22,Sheet1!$U$10:$W$105,3,FALSE)-72</f>
        <v>-1</v>
      </c>
      <c r="M22" s="4" t="s">
        <v>23</v>
      </c>
      <c r="N22" s="4">
        <f>+VLOOKUP(M22,Sheet1!$U$10:$W$105,3,FALSE)-72</f>
        <v>-1</v>
      </c>
      <c r="O22" s="4" t="s">
        <v>51</v>
      </c>
      <c r="P22" s="4">
        <f>+VLOOKUP(O22,Sheet1!$U$10:$W$105,3,FALSE)-72</f>
        <v>-7</v>
      </c>
      <c r="Q22" s="4" t="s">
        <v>64</v>
      </c>
      <c r="R22" s="4">
        <f>+VLOOKUP(Q22,Sheet1!$U$10:$W$105,3,FALSE)-72</f>
        <v>3</v>
      </c>
      <c r="S22" s="4" t="s">
        <v>64</v>
      </c>
      <c r="T22" s="4">
        <f>+VLOOKUP(S22,Sheet1!$U$10:$W$105,3,FALSE)-72</f>
        <v>3</v>
      </c>
      <c r="U22" s="4">
        <f t="shared" si="0"/>
        <v>-12</v>
      </c>
    </row>
    <row r="23" spans="1:21" ht="16" x14ac:dyDescent="0.2">
      <c r="A23" s="5">
        <v>22</v>
      </c>
      <c r="B23" s="6" t="s">
        <v>138</v>
      </c>
      <c r="C23" s="6" t="s">
        <v>98</v>
      </c>
      <c r="D23" s="6" t="s">
        <v>99</v>
      </c>
      <c r="E23" s="6" t="s">
        <v>34</v>
      </c>
      <c r="F23" s="6">
        <f>+VLOOKUP(E23,Sheet1!$U$10:$W$105,3,FALSE)-72</f>
        <v>0</v>
      </c>
      <c r="G23" s="6" t="s">
        <v>37</v>
      </c>
      <c r="H23" s="6">
        <f>+VLOOKUP(G23,Sheet1!$U$10:$W$105,3,FALSE)-72</f>
        <v>1</v>
      </c>
      <c r="I23" s="6" t="s">
        <v>54</v>
      </c>
      <c r="J23" s="6">
        <f>+VLOOKUP(I23,Sheet1!$U$10:$W$105,3,FALSE)-72</f>
        <v>-1</v>
      </c>
      <c r="K23" s="6" t="s">
        <v>44</v>
      </c>
      <c r="L23" s="6">
        <f>+VLOOKUP(K23,Sheet1!$U$10:$W$105,3,FALSE)-72</f>
        <v>2</v>
      </c>
      <c r="M23" s="6" t="s">
        <v>75</v>
      </c>
      <c r="N23" s="6">
        <f>+VLOOKUP(M23,Sheet1!$U$10:$W$105,3,FALSE)-72</f>
        <v>-1</v>
      </c>
      <c r="O23" s="6" t="s">
        <v>38</v>
      </c>
      <c r="P23" s="6">
        <f>+VLOOKUP(O23,Sheet1!$U$10:$W$105,3,FALSE)-72</f>
        <v>-4</v>
      </c>
      <c r="Q23" s="6" t="s">
        <v>22</v>
      </c>
      <c r="R23" s="6">
        <f>+VLOOKUP(Q23,Sheet1!$U$10:$W$105,3,FALSE)-72</f>
        <v>3</v>
      </c>
      <c r="S23" s="6" t="s">
        <v>50</v>
      </c>
      <c r="T23" s="6">
        <f>+VLOOKUP(S23,Sheet1!$U$10:$W$105,3,FALSE)-72</f>
        <v>-2</v>
      </c>
      <c r="U23" s="6">
        <f t="shared" si="0"/>
        <v>-7</v>
      </c>
    </row>
    <row r="24" spans="1:21" ht="16" x14ac:dyDescent="0.2">
      <c r="A24" s="3">
        <v>23</v>
      </c>
      <c r="B24" s="4" t="s">
        <v>139</v>
      </c>
      <c r="C24" s="4" t="s">
        <v>141</v>
      </c>
      <c r="D24" s="4" t="s">
        <v>142</v>
      </c>
      <c r="E24" s="4" t="s">
        <v>15</v>
      </c>
      <c r="F24" s="4">
        <f>+VLOOKUP(E24,Sheet1!$U$10:$W$105,3,FALSE)-72</f>
        <v>-4</v>
      </c>
      <c r="G24" s="4" t="s">
        <v>15</v>
      </c>
      <c r="H24" s="4">
        <f>+VLOOKUP(G24,Sheet1!$U$10:$W$105,3,FALSE)-72</f>
        <v>-4</v>
      </c>
      <c r="I24" s="4" t="s">
        <v>15</v>
      </c>
      <c r="J24" s="4">
        <f>+VLOOKUP(I24,Sheet1!$U$10:$W$105,3,FALSE)-72</f>
        <v>-4</v>
      </c>
      <c r="K24" s="4" t="s">
        <v>23</v>
      </c>
      <c r="L24" s="4">
        <f>+VLOOKUP(K24,Sheet1!$U$10:$W$105,3,FALSE)-72</f>
        <v>-1</v>
      </c>
      <c r="M24" s="4" t="s">
        <v>38</v>
      </c>
      <c r="N24" s="4">
        <f>+VLOOKUP(M24,Sheet1!$U$10:$W$105,3,FALSE)-72</f>
        <v>-4</v>
      </c>
      <c r="O24" s="4" t="s">
        <v>26</v>
      </c>
      <c r="P24" s="4">
        <f>+VLOOKUP(O24,Sheet1!$U$10:$W$105,3,FALSE)-72</f>
        <v>19</v>
      </c>
      <c r="Q24" s="4" t="s">
        <v>26</v>
      </c>
      <c r="R24" s="4">
        <f>+VLOOKUP(Q24,Sheet1!$U$10:$W$105,3,FALSE)-72</f>
        <v>19</v>
      </c>
      <c r="S24" s="4" t="s">
        <v>26</v>
      </c>
      <c r="T24" s="4">
        <f>+VLOOKUP(S24,Sheet1!$U$10:$W$105,3,FALSE)-72</f>
        <v>19</v>
      </c>
      <c r="U24" s="4">
        <f t="shared" si="0"/>
        <v>-12</v>
      </c>
    </row>
    <row r="25" spans="1:21" ht="16" x14ac:dyDescent="0.2">
      <c r="A25" s="5">
        <v>24</v>
      </c>
      <c r="B25" s="6" t="s">
        <v>140</v>
      </c>
      <c r="C25" s="6" t="s">
        <v>141</v>
      </c>
      <c r="D25" s="6" t="s">
        <v>143</v>
      </c>
      <c r="E25" s="6" t="s">
        <v>43</v>
      </c>
      <c r="F25" s="6">
        <f>+VLOOKUP(E25,Sheet1!$U$10:$W$105,3,FALSE)-72</f>
        <v>0</v>
      </c>
      <c r="G25" s="6" t="s">
        <v>14</v>
      </c>
      <c r="H25" s="6">
        <f>+VLOOKUP(G25,Sheet1!$U$10:$W$105,3,FALSE)-72</f>
        <v>0</v>
      </c>
      <c r="I25" s="6" t="s">
        <v>20</v>
      </c>
      <c r="J25" s="6">
        <f>+VLOOKUP(I25,Sheet1!$U$10:$W$105,3,FALSE)-72</f>
        <v>2</v>
      </c>
      <c r="K25" s="6" t="s">
        <v>61</v>
      </c>
      <c r="L25" s="6">
        <f>+VLOOKUP(K25,Sheet1!$U$10:$W$105,3,FALSE)-72</f>
        <v>5</v>
      </c>
      <c r="M25" s="6" t="s">
        <v>26</v>
      </c>
      <c r="N25" s="6">
        <f>+VLOOKUP(M25,Sheet1!$U$10:$W$105,3,FALSE)-72</f>
        <v>19</v>
      </c>
      <c r="O25" s="6" t="s">
        <v>26</v>
      </c>
      <c r="P25" s="6">
        <f>+VLOOKUP(O25,Sheet1!$U$10:$W$105,3,FALSE)-72</f>
        <v>19</v>
      </c>
      <c r="Q25" s="6" t="s">
        <v>26</v>
      </c>
      <c r="R25" s="6">
        <f>+VLOOKUP(Q25,Sheet1!$U$10:$W$105,3,FALSE)-72</f>
        <v>19</v>
      </c>
      <c r="S25" s="6" t="s">
        <v>26</v>
      </c>
      <c r="T25" s="6">
        <f>+VLOOKUP(S25,Sheet1!$U$10:$W$105,3,FALSE)-72</f>
        <v>19</v>
      </c>
      <c r="U25" s="6">
        <f t="shared" si="0"/>
        <v>2</v>
      </c>
    </row>
    <row r="26" spans="1:21" ht="16" x14ac:dyDescent="0.2">
      <c r="A26" s="3">
        <v>25</v>
      </c>
      <c r="B26" s="4" t="s">
        <v>144</v>
      </c>
      <c r="C26" s="4" t="s">
        <v>48</v>
      </c>
      <c r="D26" s="4" t="s">
        <v>49</v>
      </c>
      <c r="E26" s="4" t="s">
        <v>27</v>
      </c>
      <c r="F26" s="4">
        <f>+VLOOKUP(E26,Sheet1!$U$10:$W$105,3,FALSE)-72</f>
        <v>1</v>
      </c>
      <c r="G26" s="4" t="s">
        <v>33</v>
      </c>
      <c r="H26" s="4">
        <f>+VLOOKUP(G26,Sheet1!$U$10:$W$105,3,FALSE)-72</f>
        <v>1</v>
      </c>
      <c r="I26" s="4" t="s">
        <v>41</v>
      </c>
      <c r="J26" s="4">
        <f>+VLOOKUP(I26,Sheet1!$U$10:$W$105,3,FALSE)-72</f>
        <v>7</v>
      </c>
      <c r="K26" s="4" t="s">
        <v>75</v>
      </c>
      <c r="L26" s="4">
        <f>+VLOOKUP(K26,Sheet1!$U$10:$W$105,3,FALSE)-72</f>
        <v>-1</v>
      </c>
      <c r="M26" s="4" t="s">
        <v>34</v>
      </c>
      <c r="N26" s="4">
        <f>+VLOOKUP(M26,Sheet1!$U$10:$W$105,3,FALSE)-72</f>
        <v>0</v>
      </c>
      <c r="O26" s="4" t="s">
        <v>16</v>
      </c>
      <c r="P26" s="4">
        <f>+VLOOKUP(O26,Sheet1!$U$10:$W$105,3,FALSE)-72</f>
        <v>2</v>
      </c>
      <c r="Q26" s="4" t="s">
        <v>168</v>
      </c>
      <c r="R26" s="4">
        <f>+VLOOKUP(Q26,Sheet1!$U$10:$W$105,3,FALSE)-72</f>
        <v>5</v>
      </c>
      <c r="S26" s="4" t="s">
        <v>26</v>
      </c>
      <c r="T26" s="4">
        <f>+VLOOKUP(S26,Sheet1!$U$10:$W$105,3,FALSE)-72</f>
        <v>19</v>
      </c>
      <c r="U26" s="4">
        <f t="shared" si="0"/>
        <v>0</v>
      </c>
    </row>
    <row r="27" spans="1:21" ht="16" x14ac:dyDescent="0.2">
      <c r="A27" s="5">
        <v>26</v>
      </c>
      <c r="B27" s="6" t="s">
        <v>145</v>
      </c>
      <c r="C27" s="6" t="s">
        <v>67</v>
      </c>
      <c r="D27" s="6" t="s">
        <v>68</v>
      </c>
      <c r="E27" s="6" t="s">
        <v>69</v>
      </c>
      <c r="F27" s="6">
        <f>+VLOOKUP(E27,Sheet1!$U$10:$W$105,3,FALSE)-72</f>
        <v>3</v>
      </c>
      <c r="G27" s="6" t="s">
        <v>15</v>
      </c>
      <c r="H27" s="6">
        <f>+VLOOKUP(G27,Sheet1!$U$10:$W$105,3,FALSE)-72</f>
        <v>-4</v>
      </c>
      <c r="I27" s="6" t="s">
        <v>37</v>
      </c>
      <c r="J27" s="6">
        <f>+VLOOKUP(I27,Sheet1!$U$10:$W$105,3,FALSE)-72</f>
        <v>1</v>
      </c>
      <c r="K27" s="6" t="s">
        <v>20</v>
      </c>
      <c r="L27" s="6">
        <f>+VLOOKUP(K27,Sheet1!$U$10:$W$105,3,FALSE)-72</f>
        <v>2</v>
      </c>
      <c r="M27" s="6" t="s">
        <v>23</v>
      </c>
      <c r="N27" s="6">
        <f>+VLOOKUP(M27,Sheet1!$U$10:$W$105,3,FALSE)-72</f>
        <v>-1</v>
      </c>
      <c r="O27" s="6" t="s">
        <v>26</v>
      </c>
      <c r="P27" s="6">
        <f>+VLOOKUP(O27,Sheet1!$U$10:$W$105,3,FALSE)-72</f>
        <v>19</v>
      </c>
      <c r="Q27" s="6" t="s">
        <v>26</v>
      </c>
      <c r="R27" s="6">
        <f>+VLOOKUP(Q27,Sheet1!$U$10:$W$105,3,FALSE)-72</f>
        <v>19</v>
      </c>
      <c r="S27" s="6" t="s">
        <v>26</v>
      </c>
      <c r="T27" s="6">
        <f>+VLOOKUP(S27,Sheet1!$U$10:$W$105,3,FALSE)-72</f>
        <v>19</v>
      </c>
      <c r="U27" s="6">
        <f t="shared" si="0"/>
        <v>-4</v>
      </c>
    </row>
    <row r="28" spans="1:21" ht="16" x14ac:dyDescent="0.2">
      <c r="A28" s="3">
        <v>27</v>
      </c>
      <c r="B28" s="4" t="s">
        <v>147</v>
      </c>
      <c r="C28" s="4" t="s">
        <v>86</v>
      </c>
      <c r="D28" s="4" t="s">
        <v>57</v>
      </c>
      <c r="E28" s="4" t="s">
        <v>55</v>
      </c>
      <c r="F28" s="4">
        <f>+VLOOKUP(E28,Sheet1!$U$10:$W$105,3,FALSE)-72</f>
        <v>-1</v>
      </c>
      <c r="G28" s="4" t="s">
        <v>55</v>
      </c>
      <c r="H28" s="4">
        <f>+VLOOKUP(G28,Sheet1!$U$10:$W$105,3,FALSE)-72</f>
        <v>-1</v>
      </c>
      <c r="I28" s="4" t="s">
        <v>54</v>
      </c>
      <c r="J28" s="4">
        <f>+VLOOKUP(I28,Sheet1!$U$10:$W$105,3,FALSE)-72</f>
        <v>-1</v>
      </c>
      <c r="K28" s="4" t="s">
        <v>43</v>
      </c>
      <c r="L28" s="4">
        <f>+VLOOKUP(K28,Sheet1!$U$10:$W$105,3,FALSE)-72</f>
        <v>0</v>
      </c>
      <c r="M28" s="4" t="s">
        <v>75</v>
      </c>
      <c r="N28" s="4">
        <f>+VLOOKUP(M28,Sheet1!$U$10:$W$105,3,FALSE)-72</f>
        <v>-1</v>
      </c>
      <c r="O28" s="4" t="s">
        <v>55</v>
      </c>
      <c r="P28" s="4">
        <f>+VLOOKUP(O28,Sheet1!$U$10:$W$105,3,FALSE)-72</f>
        <v>-1</v>
      </c>
      <c r="Q28" s="4" t="s">
        <v>26</v>
      </c>
      <c r="R28" s="4">
        <f>+VLOOKUP(Q28,Sheet1!$U$10:$W$105,3,FALSE)-72</f>
        <v>19</v>
      </c>
      <c r="S28" s="4" t="s">
        <v>26</v>
      </c>
      <c r="T28" s="4">
        <f>+VLOOKUP(S28,Sheet1!$U$10:$W$105,3,FALSE)-72</f>
        <v>19</v>
      </c>
      <c r="U28" s="4">
        <f t="shared" si="0"/>
        <v>-3</v>
      </c>
    </row>
    <row r="29" spans="1:21" ht="16" x14ac:dyDescent="0.2">
      <c r="A29" s="5">
        <v>28</v>
      </c>
      <c r="B29" s="6" t="s">
        <v>148</v>
      </c>
      <c r="C29" s="6" t="s">
        <v>82</v>
      </c>
      <c r="D29" s="6" t="s">
        <v>83</v>
      </c>
      <c r="E29" s="6" t="s">
        <v>34</v>
      </c>
      <c r="F29" s="6">
        <f>+VLOOKUP(E29,Sheet1!$U$10:$W$105,3,FALSE)-72</f>
        <v>0</v>
      </c>
      <c r="G29" s="6" t="s">
        <v>34</v>
      </c>
      <c r="H29" s="6">
        <f>+VLOOKUP(G29,Sheet1!$U$10:$W$105,3,FALSE)-72</f>
        <v>0</v>
      </c>
      <c r="I29" s="6" t="s">
        <v>47</v>
      </c>
      <c r="J29" s="6">
        <f>+VLOOKUP(I29,Sheet1!$U$10:$W$105,3,FALSE)-72</f>
        <v>-3</v>
      </c>
      <c r="K29" s="6" t="s">
        <v>44</v>
      </c>
      <c r="L29" s="6">
        <f>+VLOOKUP(K29,Sheet1!$U$10:$W$105,3,FALSE)-72</f>
        <v>2</v>
      </c>
      <c r="M29" s="6" t="s">
        <v>94</v>
      </c>
      <c r="N29" s="6">
        <f>+VLOOKUP(M29,Sheet1!$U$10:$W$105,3,FALSE)-72</f>
        <v>6</v>
      </c>
      <c r="O29" s="6" t="s">
        <v>178</v>
      </c>
      <c r="P29" s="6">
        <f>+VLOOKUP(O29,Sheet1!$U$10:$W$105,3,FALSE)-72</f>
        <v>6</v>
      </c>
      <c r="Q29" s="6" t="s">
        <v>26</v>
      </c>
      <c r="R29" s="6">
        <f>+VLOOKUP(Q29,Sheet1!$U$10:$W$105,3,FALSE)-72</f>
        <v>19</v>
      </c>
      <c r="S29" s="6" t="s">
        <v>26</v>
      </c>
      <c r="T29" s="6">
        <f>+VLOOKUP(S29,Sheet1!$U$10:$W$105,3,FALSE)-72</f>
        <v>19</v>
      </c>
      <c r="U29" s="6">
        <f t="shared" si="0"/>
        <v>-3</v>
      </c>
    </row>
    <row r="30" spans="1:21" ht="16" x14ac:dyDescent="0.2">
      <c r="A30" s="3">
        <v>29</v>
      </c>
      <c r="B30" s="4" t="s">
        <v>149</v>
      </c>
      <c r="C30" s="4" t="s">
        <v>150</v>
      </c>
      <c r="D30" s="4" t="s">
        <v>151</v>
      </c>
      <c r="E30" s="4" t="s">
        <v>47</v>
      </c>
      <c r="F30" s="4">
        <f>+VLOOKUP(E30,Sheet1!$U$10:$W$105,3,FALSE)-72</f>
        <v>-3</v>
      </c>
      <c r="G30" s="4" t="s">
        <v>47</v>
      </c>
      <c r="H30" s="4">
        <f>+VLOOKUP(G30,Sheet1!$U$10:$W$105,3,FALSE)-72</f>
        <v>-3</v>
      </c>
      <c r="I30" s="4" t="s">
        <v>14</v>
      </c>
      <c r="J30" s="4">
        <f>+VLOOKUP(I30,Sheet1!$U$10:$W$105,3,FALSE)-72</f>
        <v>0</v>
      </c>
      <c r="K30" s="4" t="s">
        <v>14</v>
      </c>
      <c r="L30" s="4">
        <f>+VLOOKUP(K30,Sheet1!$U$10:$W$105,3,FALSE)-72</f>
        <v>0</v>
      </c>
      <c r="M30" s="4" t="s">
        <v>165</v>
      </c>
      <c r="N30" s="4">
        <f>+VLOOKUP(M30,Sheet1!$U$10:$W$105,3,FALSE)-72</f>
        <v>3</v>
      </c>
      <c r="O30" s="4" t="s">
        <v>165</v>
      </c>
      <c r="P30" s="4">
        <f>+VLOOKUP(O30,Sheet1!$U$10:$W$105,3,FALSE)-72</f>
        <v>3</v>
      </c>
      <c r="Q30" s="4" t="s">
        <v>26</v>
      </c>
      <c r="R30" s="4">
        <f>+VLOOKUP(Q30,Sheet1!$U$10:$W$105,3,FALSE)-72</f>
        <v>19</v>
      </c>
      <c r="S30" s="4" t="s">
        <v>26</v>
      </c>
      <c r="T30" s="4">
        <f>+VLOOKUP(S30,Sheet1!$U$10:$W$105,3,FALSE)-72</f>
        <v>19</v>
      </c>
      <c r="U30" s="4">
        <f t="shared" si="0"/>
        <v>-6</v>
      </c>
    </row>
    <row r="31" spans="1:21" ht="16" x14ac:dyDescent="0.2">
      <c r="A31" s="5">
        <v>30</v>
      </c>
      <c r="B31" s="6" t="s">
        <v>152</v>
      </c>
      <c r="C31" s="6" t="s">
        <v>52</v>
      </c>
      <c r="D31" s="6" t="s">
        <v>53</v>
      </c>
      <c r="E31" s="6" t="s">
        <v>16</v>
      </c>
      <c r="F31" s="6">
        <f>+VLOOKUP(E31,Sheet1!$U$10:$W$105,3,FALSE)-72</f>
        <v>2</v>
      </c>
      <c r="G31" s="6" t="s">
        <v>180</v>
      </c>
      <c r="H31" s="6">
        <f>+VLOOKUP(G31,Sheet1!$U$10:$W$105,3,FALSE)-72</f>
        <v>0</v>
      </c>
      <c r="I31" s="6" t="s">
        <v>54</v>
      </c>
      <c r="J31" s="6">
        <f>+VLOOKUP(I31,Sheet1!$U$10:$W$105,3,FALSE)-72</f>
        <v>-1</v>
      </c>
      <c r="K31" s="6" t="s">
        <v>32</v>
      </c>
      <c r="L31" s="6">
        <f>+VLOOKUP(K31,Sheet1!$U$10:$W$105,3,FALSE)-72</f>
        <v>-1</v>
      </c>
      <c r="M31" s="6" t="s">
        <v>32</v>
      </c>
      <c r="N31" s="6">
        <f>+VLOOKUP(M31,Sheet1!$U$10:$W$105,3,FALSE)-72</f>
        <v>-1</v>
      </c>
      <c r="O31" s="6" t="s">
        <v>94</v>
      </c>
      <c r="P31" s="6">
        <f>+VLOOKUP(O31,Sheet1!$U$10:$W$105,3,FALSE)-72</f>
        <v>6</v>
      </c>
      <c r="Q31" s="6" t="s">
        <v>15</v>
      </c>
      <c r="R31" s="6">
        <f>+VLOOKUP(Q31,Sheet1!$U$10:$W$105,3,FALSE)-72</f>
        <v>-4</v>
      </c>
      <c r="S31" s="6" t="s">
        <v>33</v>
      </c>
      <c r="T31" s="6">
        <f>+VLOOKUP(S31,Sheet1!$U$10:$W$105,3,FALSE)-72</f>
        <v>1</v>
      </c>
      <c r="U31" s="6">
        <f t="shared" si="0"/>
        <v>-6</v>
      </c>
    </row>
    <row r="32" spans="1:21" ht="16" x14ac:dyDescent="0.2">
      <c r="A32" s="3">
        <v>31</v>
      </c>
      <c r="B32" s="4" t="s">
        <v>91</v>
      </c>
      <c r="C32" s="4" t="s">
        <v>92</v>
      </c>
      <c r="D32" s="4" t="s">
        <v>93</v>
      </c>
      <c r="E32" s="4" t="s">
        <v>34</v>
      </c>
      <c r="F32" s="4">
        <f>+VLOOKUP(E32,Sheet1!$U$10:$W$105,3,FALSE)-72</f>
        <v>0</v>
      </c>
      <c r="G32" s="4" t="s">
        <v>27</v>
      </c>
      <c r="H32" s="4">
        <f>+VLOOKUP(G32,Sheet1!$U$10:$W$105,3,FALSE)-72</f>
        <v>1</v>
      </c>
      <c r="I32" s="4" t="s">
        <v>20</v>
      </c>
      <c r="J32" s="4">
        <f>+VLOOKUP(I32,Sheet1!$U$10:$W$105,3,FALSE)-72</f>
        <v>2</v>
      </c>
      <c r="K32" s="4" t="s">
        <v>74</v>
      </c>
      <c r="L32" s="4">
        <f>+VLOOKUP(K32,Sheet1!$U$10:$W$105,3,FALSE)-72</f>
        <v>1</v>
      </c>
      <c r="M32" s="4" t="s">
        <v>37</v>
      </c>
      <c r="N32" s="4">
        <f>+VLOOKUP(M32,Sheet1!$U$10:$W$105,3,FALSE)-72</f>
        <v>1</v>
      </c>
      <c r="O32" s="4" t="s">
        <v>179</v>
      </c>
      <c r="P32" s="4">
        <f>+VLOOKUP(O32,Sheet1!$U$10:$W$105,3,FALSE)-72</f>
        <v>0</v>
      </c>
      <c r="Q32" s="4" t="s">
        <v>26</v>
      </c>
      <c r="R32" s="4">
        <f>+VLOOKUP(Q32,Sheet1!$U$10:$W$105,3,FALSE)-72</f>
        <v>19</v>
      </c>
      <c r="S32" s="4" t="s">
        <v>26</v>
      </c>
      <c r="T32" s="4">
        <f>+VLOOKUP(S32,Sheet1!$U$10:$W$105,3,FALSE)-72</f>
        <v>19</v>
      </c>
      <c r="U32" s="4">
        <f t="shared" si="0"/>
        <v>1</v>
      </c>
    </row>
    <row r="33" spans="1:21" ht="16" x14ac:dyDescent="0.2">
      <c r="A33" s="5">
        <v>32</v>
      </c>
      <c r="B33" s="6" t="s">
        <v>153</v>
      </c>
      <c r="C33" s="6" t="s">
        <v>89</v>
      </c>
      <c r="D33" s="6" t="s">
        <v>90</v>
      </c>
      <c r="E33" s="6" t="s">
        <v>34</v>
      </c>
      <c r="F33" s="6">
        <f>+VLOOKUP(E33,Sheet1!$U$10:$W$105,3,FALSE)-72</f>
        <v>0</v>
      </c>
      <c r="G33" s="6" t="s">
        <v>32</v>
      </c>
      <c r="H33" s="6">
        <f>+VLOOKUP(G33,Sheet1!$U$10:$W$105,3,FALSE)-72</f>
        <v>-1</v>
      </c>
      <c r="I33" s="6" t="s">
        <v>41</v>
      </c>
      <c r="J33" s="6">
        <f>+VLOOKUP(I33,Sheet1!$U$10:$W$105,3,FALSE)-72</f>
        <v>7</v>
      </c>
      <c r="K33" s="6" t="s">
        <v>94</v>
      </c>
      <c r="L33" s="6">
        <f>+VLOOKUP(K33,Sheet1!$U$10:$W$105,3,FALSE)-72</f>
        <v>6</v>
      </c>
      <c r="M33" s="6" t="s">
        <v>28</v>
      </c>
      <c r="N33" s="6">
        <f>+VLOOKUP(M33,Sheet1!$U$10:$W$105,3,FALSE)-72</f>
        <v>0</v>
      </c>
      <c r="O33" s="6" t="s">
        <v>169</v>
      </c>
      <c r="P33" s="6">
        <f>+VLOOKUP(O33,Sheet1!$U$10:$W$105,3,FALSE)-72</f>
        <v>2</v>
      </c>
      <c r="Q33" s="6" t="s">
        <v>34</v>
      </c>
      <c r="R33" s="6">
        <f>+VLOOKUP(Q33,Sheet1!$U$10:$W$105,3,FALSE)-72</f>
        <v>0</v>
      </c>
      <c r="S33" s="6" t="s">
        <v>94</v>
      </c>
      <c r="T33" s="6">
        <f>+VLOOKUP(S33,Sheet1!$U$10:$W$105,3,FALSE)-72</f>
        <v>6</v>
      </c>
      <c r="U33" s="6">
        <f t="shared" si="0"/>
        <v>-1</v>
      </c>
    </row>
    <row r="34" spans="1:21" ht="16" x14ac:dyDescent="0.2">
      <c r="A34" s="3">
        <v>33</v>
      </c>
      <c r="B34" s="4" t="s">
        <v>159</v>
      </c>
      <c r="C34" s="4" t="s">
        <v>154</v>
      </c>
      <c r="D34" s="4" t="s">
        <v>155</v>
      </c>
      <c r="E34" s="4" t="s">
        <v>15</v>
      </c>
      <c r="F34" s="4">
        <f>+VLOOKUP(E34,Sheet1!$U$10:$W$105,3,FALSE)-72</f>
        <v>-4</v>
      </c>
      <c r="G34" s="4" t="s">
        <v>15</v>
      </c>
      <c r="H34" s="4">
        <f>+VLOOKUP(G34,Sheet1!$U$10:$W$105,3,FALSE)-72</f>
        <v>-4</v>
      </c>
      <c r="I34" s="4" t="s">
        <v>51</v>
      </c>
      <c r="J34" s="4">
        <f>+VLOOKUP(I34,Sheet1!$U$10:$W$105,3,FALSE)-72</f>
        <v>-7</v>
      </c>
      <c r="K34" s="4" t="s">
        <v>29</v>
      </c>
      <c r="L34" s="4">
        <f>+VLOOKUP(K34,Sheet1!$U$10:$W$105,3,FALSE)-72</f>
        <v>-1</v>
      </c>
      <c r="M34" s="4" t="s">
        <v>33</v>
      </c>
      <c r="N34" s="4">
        <f>+VLOOKUP(M34,Sheet1!$U$10:$W$105,3,FALSE)-72</f>
        <v>1</v>
      </c>
      <c r="O34" s="4" t="s">
        <v>167</v>
      </c>
      <c r="P34" s="4">
        <f>+VLOOKUP(O34,Sheet1!$U$10:$W$105,3,FALSE)-72</f>
        <v>2</v>
      </c>
      <c r="Q34" s="4" t="s">
        <v>88</v>
      </c>
      <c r="R34" s="4">
        <f>+VLOOKUP(Q34,Sheet1!$U$10:$W$105,3,FALSE)-72</f>
        <v>-1</v>
      </c>
      <c r="S34" s="4" t="s">
        <v>22</v>
      </c>
      <c r="T34" s="4">
        <f>+VLOOKUP(S34,Sheet1!$U$10:$W$105,3,FALSE)-72</f>
        <v>3</v>
      </c>
      <c r="U34" s="4">
        <f t="shared" si="0"/>
        <v>-15</v>
      </c>
    </row>
    <row r="35" spans="1:21" ht="16" x14ac:dyDescent="0.2">
      <c r="A35" s="5">
        <v>34</v>
      </c>
      <c r="B35" s="6" t="s">
        <v>162</v>
      </c>
      <c r="C35" s="6" t="s">
        <v>156</v>
      </c>
      <c r="D35" s="6" t="s">
        <v>99</v>
      </c>
      <c r="E35" s="6" t="s">
        <v>69</v>
      </c>
      <c r="F35" s="6">
        <f>+VLOOKUP(E35,Sheet1!$U$10:$W$105,3,FALSE)-72</f>
        <v>3</v>
      </c>
      <c r="G35" s="6" t="s">
        <v>75</v>
      </c>
      <c r="H35" s="6">
        <f>+VLOOKUP(G35,Sheet1!$U$10:$W$105,3,FALSE)-72</f>
        <v>-1</v>
      </c>
      <c r="I35" s="6" t="s">
        <v>50</v>
      </c>
      <c r="J35" s="6">
        <f>+VLOOKUP(I35,Sheet1!$U$10:$W$105,3,FALSE)-72</f>
        <v>-2</v>
      </c>
      <c r="K35" s="6" t="s">
        <v>27</v>
      </c>
      <c r="L35" s="6">
        <f>+VLOOKUP(K35,Sheet1!$U$10:$W$105,3,FALSE)-72</f>
        <v>1</v>
      </c>
      <c r="M35" s="6" t="s">
        <v>22</v>
      </c>
      <c r="N35" s="6">
        <f>+VLOOKUP(M35,Sheet1!$U$10:$W$105,3,FALSE)-72</f>
        <v>3</v>
      </c>
      <c r="O35" s="6" t="s">
        <v>32</v>
      </c>
      <c r="P35" s="6">
        <f>+VLOOKUP(O35,Sheet1!$U$10:$W$105,3,FALSE)-72</f>
        <v>-1</v>
      </c>
      <c r="Q35" s="6" t="s">
        <v>28</v>
      </c>
      <c r="R35" s="6">
        <f>+VLOOKUP(Q35,Sheet1!$U$10:$W$105,3,FALSE)-72</f>
        <v>0</v>
      </c>
      <c r="S35" s="6" t="s">
        <v>168</v>
      </c>
      <c r="T35" s="6">
        <f>+VLOOKUP(S35,Sheet1!$U$10:$W$105,3,FALSE)-72</f>
        <v>5</v>
      </c>
      <c r="U35" s="6">
        <f t="shared" si="0"/>
        <v>-4</v>
      </c>
    </row>
    <row r="36" spans="1:21" ht="16" x14ac:dyDescent="0.2">
      <c r="A36" s="3">
        <v>35</v>
      </c>
      <c r="B36" s="4" t="s">
        <v>163</v>
      </c>
      <c r="C36" s="4" t="s">
        <v>72</v>
      </c>
      <c r="D36" s="4" t="s">
        <v>73</v>
      </c>
      <c r="E36" s="4" t="s">
        <v>14</v>
      </c>
      <c r="F36" s="4">
        <f>+VLOOKUP(E36,Sheet1!$U$10:$W$105,3,FALSE)-72</f>
        <v>0</v>
      </c>
      <c r="G36" s="4" t="s">
        <v>14</v>
      </c>
      <c r="H36" s="4">
        <f>+VLOOKUP(G36,Sheet1!$U$10:$W$105,3,FALSE)-72</f>
        <v>0</v>
      </c>
      <c r="I36" s="4" t="s">
        <v>34</v>
      </c>
      <c r="J36" s="4">
        <f>+VLOOKUP(I36,Sheet1!$U$10:$W$105,3,FALSE)-72</f>
        <v>0</v>
      </c>
      <c r="K36" s="4" t="s">
        <v>34</v>
      </c>
      <c r="L36" s="4">
        <f>+VLOOKUP(K36,Sheet1!$U$10:$W$105,3,FALSE)-72</f>
        <v>0</v>
      </c>
      <c r="M36" s="4" t="s">
        <v>75</v>
      </c>
      <c r="N36" s="4">
        <f>+VLOOKUP(M36,Sheet1!$U$10:$W$105,3,FALSE)-72</f>
        <v>-1</v>
      </c>
      <c r="O36" s="4" t="s">
        <v>25</v>
      </c>
      <c r="P36" s="4">
        <f>+VLOOKUP(O36,Sheet1!$U$10:$W$105,3,FALSE)-72</f>
        <v>2</v>
      </c>
      <c r="Q36" s="4" t="s">
        <v>26</v>
      </c>
      <c r="R36" s="4">
        <f>+VLOOKUP(Q36,Sheet1!$U$10:$W$105,3,FALSE)-72</f>
        <v>19</v>
      </c>
      <c r="S36" s="4" t="s">
        <v>26</v>
      </c>
      <c r="T36" s="4">
        <f>+VLOOKUP(S36,Sheet1!$U$10:$W$105,3,FALSE)-72</f>
        <v>19</v>
      </c>
      <c r="U36" s="4">
        <f t="shared" si="0"/>
        <v>-1</v>
      </c>
    </row>
    <row r="37" spans="1:21" ht="16" x14ac:dyDescent="0.2">
      <c r="A37" s="5">
        <v>36</v>
      </c>
      <c r="B37" s="6" t="s">
        <v>101</v>
      </c>
      <c r="C37" s="6" t="s">
        <v>102</v>
      </c>
      <c r="D37" s="6" t="s">
        <v>103</v>
      </c>
      <c r="E37" s="6" t="s">
        <v>43</v>
      </c>
      <c r="F37" s="6">
        <f>+VLOOKUP(E37,Sheet1!$U$10:$W$105,3,FALSE)-72</f>
        <v>0</v>
      </c>
      <c r="G37" s="6" t="s">
        <v>15</v>
      </c>
      <c r="H37" s="6">
        <f>+VLOOKUP(G37,Sheet1!$U$10:$W$105,3,FALSE)-72</f>
        <v>-4</v>
      </c>
      <c r="I37" s="6" t="s">
        <v>166</v>
      </c>
      <c r="J37" s="6">
        <f>+VLOOKUP(I37,Sheet1!$U$10:$W$105,3,FALSE)-72</f>
        <v>-1</v>
      </c>
      <c r="K37" s="6" t="s">
        <v>170</v>
      </c>
      <c r="L37" s="6">
        <f>+VLOOKUP(K37,Sheet1!$U$10:$W$105,3,FALSE)-72</f>
        <v>0</v>
      </c>
      <c r="M37" s="6" t="s">
        <v>26</v>
      </c>
      <c r="N37" s="6">
        <f>+VLOOKUP(M37,Sheet1!$U$10:$W$105,3,FALSE)-72</f>
        <v>19</v>
      </c>
      <c r="O37" s="6" t="s">
        <v>26</v>
      </c>
      <c r="P37" s="6">
        <f>+VLOOKUP(O37,Sheet1!$U$10:$W$105,3,FALSE)-72</f>
        <v>19</v>
      </c>
      <c r="Q37" s="6" t="s">
        <v>26</v>
      </c>
      <c r="R37" s="6">
        <f>+VLOOKUP(Q37,Sheet1!$U$10:$W$105,3,FALSE)-72</f>
        <v>19</v>
      </c>
      <c r="S37" s="6" t="s">
        <v>26</v>
      </c>
      <c r="T37" s="6">
        <f>+VLOOKUP(S37,Sheet1!$U$10:$W$105,3,FALSE)-72</f>
        <v>19</v>
      </c>
      <c r="U37" s="6">
        <f t="shared" si="0"/>
        <v>-5</v>
      </c>
    </row>
    <row r="38" spans="1:21" ht="16" x14ac:dyDescent="0.2">
      <c r="A38" s="3">
        <v>37</v>
      </c>
      <c r="B38" s="4" t="s">
        <v>160</v>
      </c>
      <c r="C38" s="4" t="s">
        <v>157</v>
      </c>
      <c r="D38" s="4" t="s">
        <v>158</v>
      </c>
      <c r="E38" s="4" t="s">
        <v>43</v>
      </c>
      <c r="F38" s="4">
        <f>+VLOOKUP(E38,Sheet1!$U$10:$W$105,3,FALSE)-72</f>
        <v>0</v>
      </c>
      <c r="G38" s="4" t="s">
        <v>58</v>
      </c>
      <c r="H38" s="4">
        <f>+VLOOKUP(G38,Sheet1!$U$10:$W$105,3,FALSE)-72</f>
        <v>1</v>
      </c>
      <c r="I38" s="4" t="s">
        <v>54</v>
      </c>
      <c r="J38" s="4">
        <f>+VLOOKUP(I38,Sheet1!$U$10:$W$105,3,FALSE)-72</f>
        <v>-1</v>
      </c>
      <c r="K38" s="4" t="s">
        <v>22</v>
      </c>
      <c r="L38" s="4">
        <f>+VLOOKUP(K38,Sheet1!$U$10:$W$105,3,FALSE)-72</f>
        <v>3</v>
      </c>
      <c r="M38" s="4" t="s">
        <v>168</v>
      </c>
      <c r="N38" s="4">
        <f>+VLOOKUP(M38,Sheet1!$U$10:$W$105,3,FALSE)-72</f>
        <v>5</v>
      </c>
      <c r="O38" s="4" t="s">
        <v>26</v>
      </c>
      <c r="P38" s="4">
        <f>+VLOOKUP(O38,Sheet1!$U$10:$W$105,3,FALSE)-72</f>
        <v>19</v>
      </c>
      <c r="Q38" s="4" t="s">
        <v>26</v>
      </c>
      <c r="R38" s="4">
        <f>+VLOOKUP(Q38,Sheet1!$U$10:$W$105,3,FALSE)-72</f>
        <v>19</v>
      </c>
      <c r="S38" s="4" t="s">
        <v>26</v>
      </c>
      <c r="T38" s="4">
        <f>+VLOOKUP(S38,Sheet1!$U$10:$W$105,3,FALSE)-72</f>
        <v>19</v>
      </c>
      <c r="U38" s="4">
        <f t="shared" si="0"/>
        <v>0</v>
      </c>
    </row>
    <row r="39" spans="1:21" ht="16" x14ac:dyDescent="0.2">
      <c r="A39" s="5">
        <v>38</v>
      </c>
      <c r="B39" s="6" t="s">
        <v>17</v>
      </c>
      <c r="C39" s="6" t="s">
        <v>18</v>
      </c>
      <c r="D39" s="6" t="s">
        <v>19</v>
      </c>
      <c r="E39" s="6" t="s">
        <v>15</v>
      </c>
      <c r="F39" s="6">
        <f>+VLOOKUP(E39,Sheet1!$U$10:$W$105,3,FALSE)-72</f>
        <v>-4</v>
      </c>
      <c r="G39" s="6" t="s">
        <v>15</v>
      </c>
      <c r="H39" s="6">
        <f>+VLOOKUP(G39,Sheet1!$U$10:$W$105,3,FALSE)-72</f>
        <v>-4</v>
      </c>
      <c r="I39" s="6" t="s">
        <v>47</v>
      </c>
      <c r="J39" s="6">
        <f>+VLOOKUP(I39,Sheet1!$U$10:$W$105,3,FALSE)-72</f>
        <v>-3</v>
      </c>
      <c r="K39" s="6" t="s">
        <v>75</v>
      </c>
      <c r="L39" s="6">
        <f>+VLOOKUP(K39,Sheet1!$U$10:$W$105,3,FALSE)-72</f>
        <v>-1</v>
      </c>
      <c r="M39" s="6" t="s">
        <v>28</v>
      </c>
      <c r="N39" s="6">
        <f>+VLOOKUP(M39,Sheet1!$U$10:$W$105,3,FALSE)-72</f>
        <v>0</v>
      </c>
      <c r="O39" s="6" t="s">
        <v>168</v>
      </c>
      <c r="P39" s="6">
        <f>+VLOOKUP(O39,Sheet1!$U$10:$W$105,3,FALSE)-72</f>
        <v>5</v>
      </c>
      <c r="Q39" s="6" t="s">
        <v>24</v>
      </c>
      <c r="R39" s="6">
        <f>+VLOOKUP(Q39,Sheet1!$U$10:$W$105,3,FALSE)-72</f>
        <v>0</v>
      </c>
      <c r="S39" s="6" t="s">
        <v>177</v>
      </c>
      <c r="T39" s="6">
        <f>+VLOOKUP(S39,Sheet1!$U$10:$W$105,3,FALSE)-72</f>
        <v>3</v>
      </c>
      <c r="U39" s="6">
        <f t="shared" si="0"/>
        <v>-11</v>
      </c>
    </row>
    <row r="40" spans="1:21" ht="16" x14ac:dyDescent="0.2">
      <c r="A40" s="3">
        <v>39</v>
      </c>
      <c r="B40" s="4" t="s">
        <v>161</v>
      </c>
      <c r="C40" s="4" t="s">
        <v>70</v>
      </c>
      <c r="D40" s="4" t="s">
        <v>71</v>
      </c>
      <c r="E40" s="4" t="s">
        <v>34</v>
      </c>
      <c r="F40" s="4">
        <f>+VLOOKUP(E40,Sheet1!$U$10:$W$105,3,FALSE)-72</f>
        <v>0</v>
      </c>
      <c r="G40" s="4" t="s">
        <v>27</v>
      </c>
      <c r="H40" s="4">
        <f>+VLOOKUP(G40,Sheet1!$U$10:$W$105,3,FALSE)-72</f>
        <v>1</v>
      </c>
      <c r="I40" s="4" t="s">
        <v>176</v>
      </c>
      <c r="J40" s="4">
        <f>+VLOOKUP(I40,Sheet1!$U$10:$W$105,3,FALSE)-72</f>
        <v>0</v>
      </c>
      <c r="K40" s="4" t="s">
        <v>164</v>
      </c>
      <c r="L40" s="4">
        <f>+VLOOKUP(K40,Sheet1!$U$10:$W$105,3,FALSE)-72</f>
        <v>-3</v>
      </c>
      <c r="M40" s="4" t="s">
        <v>75</v>
      </c>
      <c r="N40" s="4">
        <f>+VLOOKUP(M40,Sheet1!$U$10:$W$105,3,FALSE)-72</f>
        <v>-1</v>
      </c>
      <c r="O40" s="4" t="s">
        <v>54</v>
      </c>
      <c r="P40" s="4">
        <f>+VLOOKUP(O40,Sheet1!$U$10:$W$105,3,FALSE)-72</f>
        <v>-1</v>
      </c>
      <c r="Q40" s="4" t="s">
        <v>55</v>
      </c>
      <c r="R40" s="4">
        <f>+VLOOKUP(Q40,Sheet1!$U$10:$W$105,3,FALSE)-72</f>
        <v>-1</v>
      </c>
      <c r="S40" s="4" t="s">
        <v>38</v>
      </c>
      <c r="T40" s="4">
        <f>+VLOOKUP(S40,Sheet1!$U$10:$W$105,3,FALSE)-72</f>
        <v>-4</v>
      </c>
      <c r="U40" s="4">
        <f t="shared" si="0"/>
        <v>-8</v>
      </c>
    </row>
    <row r="42" spans="1:21" x14ac:dyDescent="0.2">
      <c r="U42">
        <f>+MAX(U2:U40)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7601-D3C4-4F1E-9288-FBB752F22786}">
  <sheetPr codeName="Sheet1"/>
  <dimension ref="A1:L40"/>
  <sheetViews>
    <sheetView tabSelected="1" zoomScale="150" zoomScaleNormal="150" workbookViewId="0">
      <selection activeCell="E6" sqref="E6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7" width="18.5" bestFit="1" customWidth="1"/>
    <col min="8" max="8" width="19.1640625" bestFit="1" customWidth="1"/>
    <col min="9" max="9" width="20.1640625" bestFit="1" customWidth="1"/>
    <col min="10" max="10" width="17.6640625" bestFit="1" customWidth="1"/>
    <col min="11" max="12" width="18.6640625" bestFit="1" customWidth="1"/>
  </cols>
  <sheetData>
    <row r="1" spans="1:12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6" x14ac:dyDescent="0.2">
      <c r="A2" s="3">
        <v>1</v>
      </c>
      <c r="B2" s="4" t="s">
        <v>104</v>
      </c>
      <c r="C2" s="4" t="s">
        <v>79</v>
      </c>
      <c r="D2" s="4" t="s">
        <v>105</v>
      </c>
      <c r="E2" s="4" t="s">
        <v>15</v>
      </c>
      <c r="F2" s="4" t="s">
        <v>20</v>
      </c>
      <c r="G2" s="4" t="s">
        <v>58</v>
      </c>
      <c r="H2" s="4" t="s">
        <v>44</v>
      </c>
      <c r="I2" s="4" t="s">
        <v>30</v>
      </c>
      <c r="J2" s="4" t="s">
        <v>30</v>
      </c>
      <c r="K2" s="4" t="s">
        <v>74</v>
      </c>
      <c r="L2" s="4" t="s">
        <v>24</v>
      </c>
    </row>
    <row r="3" spans="1:12" ht="16" x14ac:dyDescent="0.2">
      <c r="A3" s="5">
        <v>2</v>
      </c>
      <c r="B3" s="6" t="s">
        <v>106</v>
      </c>
      <c r="C3" s="6" t="s">
        <v>95</v>
      </c>
      <c r="D3" s="6" t="s">
        <v>96</v>
      </c>
      <c r="E3" s="6" t="s">
        <v>27</v>
      </c>
      <c r="F3" s="6" t="s">
        <v>27</v>
      </c>
      <c r="G3" s="6" t="s">
        <v>20</v>
      </c>
      <c r="H3" s="6" t="s">
        <v>20</v>
      </c>
      <c r="I3" s="6" t="s">
        <v>22</v>
      </c>
      <c r="J3" s="6" t="s">
        <v>22</v>
      </c>
      <c r="K3" s="6" t="s">
        <v>24</v>
      </c>
      <c r="L3" s="6" t="s">
        <v>170</v>
      </c>
    </row>
    <row r="4" spans="1:12" ht="16" x14ac:dyDescent="0.2">
      <c r="A4" s="3">
        <v>3</v>
      </c>
      <c r="B4" s="4" t="s">
        <v>109</v>
      </c>
      <c r="C4" s="4" t="s">
        <v>107</v>
      </c>
      <c r="D4" s="4" t="s">
        <v>108</v>
      </c>
      <c r="E4" s="4" t="s">
        <v>34</v>
      </c>
      <c r="F4" s="4" t="s">
        <v>37</v>
      </c>
      <c r="G4" s="4" t="s">
        <v>37</v>
      </c>
      <c r="H4" s="4" t="s">
        <v>20</v>
      </c>
      <c r="I4" s="4" t="s">
        <v>165</v>
      </c>
      <c r="J4" s="4" t="s">
        <v>21</v>
      </c>
      <c r="K4" s="4" t="s">
        <v>64</v>
      </c>
      <c r="L4" s="4" t="s">
        <v>174</v>
      </c>
    </row>
    <row r="5" spans="1:12" ht="16" x14ac:dyDescent="0.2">
      <c r="A5" s="5">
        <v>4</v>
      </c>
      <c r="B5" s="6" t="s">
        <v>110</v>
      </c>
      <c r="C5" s="6" t="s">
        <v>77</v>
      </c>
      <c r="D5" s="6" t="s">
        <v>78</v>
      </c>
      <c r="E5" s="6" t="s">
        <v>15</v>
      </c>
      <c r="F5" s="6" t="s">
        <v>33</v>
      </c>
      <c r="G5" s="6" t="s">
        <v>37</v>
      </c>
      <c r="H5" s="6" t="s">
        <v>41</v>
      </c>
      <c r="I5" s="6" t="s">
        <v>42</v>
      </c>
      <c r="J5" s="6" t="s">
        <v>42</v>
      </c>
      <c r="K5" s="6" t="s">
        <v>38</v>
      </c>
      <c r="L5" s="6" t="s">
        <v>171</v>
      </c>
    </row>
    <row r="6" spans="1:12" ht="16" x14ac:dyDescent="0.2">
      <c r="A6" s="3">
        <v>5</v>
      </c>
      <c r="B6" s="4" t="s">
        <v>146</v>
      </c>
      <c r="C6" s="4" t="s">
        <v>59</v>
      </c>
      <c r="D6" s="4" t="s">
        <v>60</v>
      </c>
      <c r="E6" s="4" t="s">
        <v>33</v>
      </c>
      <c r="F6" s="4" t="s">
        <v>33</v>
      </c>
      <c r="G6" s="4" t="s">
        <v>54</v>
      </c>
      <c r="H6" s="4" t="s">
        <v>41</v>
      </c>
      <c r="I6" s="4" t="s">
        <v>41</v>
      </c>
      <c r="J6" s="4" t="s">
        <v>165</v>
      </c>
      <c r="K6" s="4" t="s">
        <v>75</v>
      </c>
      <c r="L6" s="4" t="s">
        <v>21</v>
      </c>
    </row>
    <row r="7" spans="1:12" ht="16" x14ac:dyDescent="0.2">
      <c r="A7" s="5">
        <v>6</v>
      </c>
      <c r="B7" s="6" t="s">
        <v>111</v>
      </c>
      <c r="C7" s="6" t="s">
        <v>84</v>
      </c>
      <c r="D7" s="6" t="s">
        <v>85</v>
      </c>
      <c r="E7" s="6" t="s">
        <v>32</v>
      </c>
      <c r="F7" s="6" t="s">
        <v>32</v>
      </c>
      <c r="G7" s="6" t="s">
        <v>74</v>
      </c>
      <c r="H7" s="6" t="s">
        <v>74</v>
      </c>
      <c r="I7" s="6" t="s">
        <v>37</v>
      </c>
      <c r="J7" s="6" t="s">
        <v>37</v>
      </c>
      <c r="K7" s="6" t="s">
        <v>50</v>
      </c>
      <c r="L7" s="6" t="s">
        <v>50</v>
      </c>
    </row>
    <row r="8" spans="1:12" ht="16" x14ac:dyDescent="0.2">
      <c r="A8" s="3">
        <v>7</v>
      </c>
      <c r="B8" s="4" t="s">
        <v>112</v>
      </c>
      <c r="C8" s="4" t="s">
        <v>56</v>
      </c>
      <c r="D8" s="4" t="s">
        <v>57</v>
      </c>
      <c r="E8" s="4" t="s">
        <v>34</v>
      </c>
      <c r="F8" s="4" t="s">
        <v>34</v>
      </c>
      <c r="G8" s="4" t="s">
        <v>34</v>
      </c>
      <c r="H8" s="4" t="s">
        <v>29</v>
      </c>
      <c r="I8" s="4" t="s">
        <v>170</v>
      </c>
      <c r="J8" s="4" t="s">
        <v>24</v>
      </c>
      <c r="K8" s="4" t="s">
        <v>97</v>
      </c>
      <c r="L8" s="4" t="s">
        <v>175</v>
      </c>
    </row>
    <row r="9" spans="1:12" ht="16" x14ac:dyDescent="0.2">
      <c r="A9" s="5">
        <v>8</v>
      </c>
      <c r="B9" s="6" t="s">
        <v>113</v>
      </c>
      <c r="C9" s="6" t="s">
        <v>65</v>
      </c>
      <c r="D9" s="6" t="s">
        <v>66</v>
      </c>
      <c r="E9" s="6" t="s">
        <v>27</v>
      </c>
      <c r="F9" s="6" t="s">
        <v>27</v>
      </c>
      <c r="G9" s="6" t="s">
        <v>47</v>
      </c>
      <c r="H9" s="6" t="s">
        <v>54</v>
      </c>
      <c r="I9" s="6" t="s">
        <v>38</v>
      </c>
      <c r="J9" s="6" t="s">
        <v>94</v>
      </c>
      <c r="K9" s="6" t="s">
        <v>26</v>
      </c>
      <c r="L9" s="6" t="s">
        <v>26</v>
      </c>
    </row>
    <row r="10" spans="1:12" ht="16" x14ac:dyDescent="0.2">
      <c r="A10" s="3">
        <v>9</v>
      </c>
      <c r="B10" s="4" t="s">
        <v>114</v>
      </c>
      <c r="C10" s="4" t="s">
        <v>115</v>
      </c>
      <c r="D10" s="4" t="s">
        <v>116</v>
      </c>
      <c r="E10" s="4" t="s">
        <v>34</v>
      </c>
      <c r="F10" s="4" t="s">
        <v>34</v>
      </c>
      <c r="G10" s="4" t="s">
        <v>41</v>
      </c>
      <c r="H10" s="4" t="s">
        <v>165</v>
      </c>
      <c r="I10" s="4" t="s">
        <v>165</v>
      </c>
      <c r="J10" s="4" t="s">
        <v>21</v>
      </c>
      <c r="K10" s="4" t="s">
        <v>21</v>
      </c>
      <c r="L10" s="4" t="s">
        <v>26</v>
      </c>
    </row>
    <row r="11" spans="1:12" ht="16" x14ac:dyDescent="0.2">
      <c r="A11" s="5">
        <v>10</v>
      </c>
      <c r="B11" s="6" t="s">
        <v>119</v>
      </c>
      <c r="C11" s="6" t="s">
        <v>117</v>
      </c>
      <c r="D11" s="6" t="s">
        <v>118</v>
      </c>
      <c r="E11" s="6" t="s">
        <v>43</v>
      </c>
      <c r="F11" s="6" t="s">
        <v>58</v>
      </c>
      <c r="G11" s="6" t="s">
        <v>32</v>
      </c>
      <c r="H11" s="6" t="s">
        <v>75</v>
      </c>
      <c r="I11" s="6" t="s">
        <v>178</v>
      </c>
      <c r="J11" s="6" t="s">
        <v>26</v>
      </c>
      <c r="K11" s="6" t="s">
        <v>26</v>
      </c>
      <c r="L11" s="6" t="s">
        <v>26</v>
      </c>
    </row>
    <row r="12" spans="1:12" ht="16" x14ac:dyDescent="0.2">
      <c r="A12" s="3">
        <v>11</v>
      </c>
      <c r="B12" s="4" t="s">
        <v>120</v>
      </c>
      <c r="C12" s="7" t="s">
        <v>121</v>
      </c>
      <c r="D12" s="4" t="s">
        <v>100</v>
      </c>
      <c r="E12" s="4" t="s">
        <v>69</v>
      </c>
      <c r="F12" s="4" t="s">
        <v>47</v>
      </c>
      <c r="G12" s="4" t="s">
        <v>20</v>
      </c>
      <c r="H12" s="4" t="s">
        <v>74</v>
      </c>
      <c r="I12" s="4" t="s">
        <v>29</v>
      </c>
      <c r="J12" s="4" t="s">
        <v>51</v>
      </c>
      <c r="K12" s="4" t="s">
        <v>172</v>
      </c>
      <c r="L12" s="4" t="s">
        <v>173</v>
      </c>
    </row>
    <row r="13" spans="1:12" ht="16" x14ac:dyDescent="0.2">
      <c r="A13" s="5">
        <v>12</v>
      </c>
      <c r="B13" s="6" t="s">
        <v>122</v>
      </c>
      <c r="C13" s="6" t="s">
        <v>123</v>
      </c>
      <c r="D13" s="6" t="s">
        <v>87</v>
      </c>
      <c r="E13" s="6" t="s">
        <v>15</v>
      </c>
      <c r="F13" s="6" t="s">
        <v>34</v>
      </c>
      <c r="G13" s="6" t="s">
        <v>32</v>
      </c>
      <c r="H13" s="6" t="s">
        <v>47</v>
      </c>
      <c r="I13" s="6" t="s">
        <v>22</v>
      </c>
      <c r="J13" s="6" t="s">
        <v>76</v>
      </c>
      <c r="K13" s="6" t="s">
        <v>26</v>
      </c>
      <c r="L13" s="6" t="s">
        <v>26</v>
      </c>
    </row>
    <row r="14" spans="1:12" ht="16" x14ac:dyDescent="0.2">
      <c r="A14" s="3">
        <v>13</v>
      </c>
      <c r="B14" s="4" t="s">
        <v>124</v>
      </c>
      <c r="C14" s="4" t="s">
        <v>12</v>
      </c>
      <c r="D14" s="4" t="s">
        <v>13</v>
      </c>
      <c r="E14" s="4" t="s">
        <v>14</v>
      </c>
      <c r="F14" s="4" t="s">
        <v>14</v>
      </c>
      <c r="G14" s="4" t="s">
        <v>14</v>
      </c>
      <c r="H14" s="4" t="s">
        <v>42</v>
      </c>
      <c r="I14" s="4" t="s">
        <v>42</v>
      </c>
      <c r="J14" s="4" t="s">
        <v>42</v>
      </c>
      <c r="K14" s="4" t="s">
        <v>34</v>
      </c>
      <c r="L14" s="4" t="s">
        <v>26</v>
      </c>
    </row>
    <row r="15" spans="1:12" ht="16" x14ac:dyDescent="0.2">
      <c r="A15" s="5">
        <v>14</v>
      </c>
      <c r="B15" s="6" t="s">
        <v>125</v>
      </c>
      <c r="C15" s="6" t="s">
        <v>39</v>
      </c>
      <c r="D15" s="6" t="s">
        <v>40</v>
      </c>
      <c r="E15" s="6" t="s">
        <v>15</v>
      </c>
      <c r="F15" s="6" t="s">
        <v>41</v>
      </c>
      <c r="G15" s="6" t="s">
        <v>41</v>
      </c>
      <c r="H15" s="6" t="s">
        <v>41</v>
      </c>
      <c r="I15" s="6" t="s">
        <v>23</v>
      </c>
      <c r="J15" s="6" t="s">
        <v>23</v>
      </c>
      <c r="K15" s="6" t="s">
        <v>23</v>
      </c>
      <c r="L15" s="6" t="s">
        <v>20</v>
      </c>
    </row>
    <row r="16" spans="1:12" ht="16" x14ac:dyDescent="0.2">
      <c r="A16" s="3">
        <v>15</v>
      </c>
      <c r="B16" s="4" t="s">
        <v>126</v>
      </c>
      <c r="C16" s="4" t="s">
        <v>62</v>
      </c>
      <c r="D16" s="4" t="s">
        <v>63</v>
      </c>
      <c r="E16" s="4" t="s">
        <v>15</v>
      </c>
      <c r="F16" s="4" t="s">
        <v>15</v>
      </c>
      <c r="G16" s="4" t="s">
        <v>41</v>
      </c>
      <c r="H16" s="4" t="s">
        <v>41</v>
      </c>
      <c r="I16" s="4" t="s">
        <v>32</v>
      </c>
      <c r="J16" s="4" t="s">
        <v>29</v>
      </c>
      <c r="K16" s="4" t="s">
        <v>171</v>
      </c>
      <c r="L16" s="4" t="s">
        <v>171</v>
      </c>
    </row>
    <row r="17" spans="1:12" ht="16" x14ac:dyDescent="0.2">
      <c r="A17" s="5">
        <v>16</v>
      </c>
      <c r="B17" s="6" t="s">
        <v>127</v>
      </c>
      <c r="C17" s="6" t="s">
        <v>80</v>
      </c>
      <c r="D17" s="6" t="s">
        <v>81</v>
      </c>
      <c r="E17" s="6" t="s">
        <v>34</v>
      </c>
      <c r="F17" s="6" t="s">
        <v>34</v>
      </c>
      <c r="G17" s="6" t="s">
        <v>34</v>
      </c>
      <c r="H17" s="6" t="s">
        <v>54</v>
      </c>
      <c r="I17" s="6" t="s">
        <v>25</v>
      </c>
      <c r="J17" s="6" t="s">
        <v>26</v>
      </c>
      <c r="K17" s="6" t="s">
        <v>26</v>
      </c>
      <c r="L17" s="6" t="s">
        <v>26</v>
      </c>
    </row>
    <row r="18" spans="1:12" ht="16" x14ac:dyDescent="0.2">
      <c r="A18" s="3">
        <v>17</v>
      </c>
      <c r="B18" s="4" t="s">
        <v>128</v>
      </c>
      <c r="C18" s="4" t="s">
        <v>129</v>
      </c>
      <c r="D18" s="4" t="s">
        <v>130</v>
      </c>
      <c r="E18" s="4" t="s">
        <v>15</v>
      </c>
      <c r="F18" s="4" t="s">
        <v>54</v>
      </c>
      <c r="G18" s="4" t="s">
        <v>26</v>
      </c>
      <c r="H18" s="4" t="s">
        <v>41</v>
      </c>
      <c r="I18" s="4" t="s">
        <v>34</v>
      </c>
      <c r="J18" s="4" t="s">
        <v>37</v>
      </c>
      <c r="K18" s="4" t="s">
        <v>167</v>
      </c>
      <c r="L18" s="4" t="s">
        <v>26</v>
      </c>
    </row>
    <row r="19" spans="1:12" ht="16" x14ac:dyDescent="0.2">
      <c r="A19" s="5">
        <v>18</v>
      </c>
      <c r="B19" s="6" t="s">
        <v>131</v>
      </c>
      <c r="C19" s="6" t="s">
        <v>45</v>
      </c>
      <c r="D19" s="6" t="s">
        <v>46</v>
      </c>
      <c r="E19" s="6" t="s">
        <v>34</v>
      </c>
      <c r="F19" s="6" t="s">
        <v>47</v>
      </c>
      <c r="G19" s="6" t="s">
        <v>27</v>
      </c>
      <c r="H19" s="6" t="s">
        <v>54</v>
      </c>
      <c r="I19" s="6" t="s">
        <v>21</v>
      </c>
      <c r="J19" s="6" t="s">
        <v>31</v>
      </c>
      <c r="K19" s="6" t="s">
        <v>26</v>
      </c>
      <c r="L19" s="6" t="s">
        <v>26</v>
      </c>
    </row>
    <row r="20" spans="1:12" ht="16" x14ac:dyDescent="0.2">
      <c r="A20" s="3">
        <v>19</v>
      </c>
      <c r="B20" s="4" t="s">
        <v>133</v>
      </c>
      <c r="C20" s="4" t="s">
        <v>134</v>
      </c>
      <c r="D20" s="4" t="s">
        <v>135</v>
      </c>
      <c r="E20" s="4" t="s">
        <v>43</v>
      </c>
      <c r="F20" s="4" t="s">
        <v>75</v>
      </c>
      <c r="G20" s="4" t="s">
        <v>75</v>
      </c>
      <c r="H20" s="4" t="s">
        <v>42</v>
      </c>
      <c r="I20" s="4" t="s">
        <v>42</v>
      </c>
      <c r="J20" s="4" t="s">
        <v>51</v>
      </c>
      <c r="K20" s="4" t="s">
        <v>26</v>
      </c>
      <c r="L20" s="4" t="s">
        <v>26</v>
      </c>
    </row>
    <row r="21" spans="1:12" ht="16" x14ac:dyDescent="0.2">
      <c r="A21" s="5">
        <v>20</v>
      </c>
      <c r="B21" s="6" t="s">
        <v>132</v>
      </c>
      <c r="C21" s="6" t="s">
        <v>134</v>
      </c>
      <c r="D21" s="6" t="s">
        <v>136</v>
      </c>
      <c r="E21" s="6" t="s">
        <v>34</v>
      </c>
      <c r="F21" s="6" t="s">
        <v>34</v>
      </c>
      <c r="G21" s="6" t="s">
        <v>34</v>
      </c>
      <c r="H21" s="6" t="s">
        <v>54</v>
      </c>
      <c r="I21" s="6" t="s">
        <v>25</v>
      </c>
      <c r="J21" s="6" t="s">
        <v>26</v>
      </c>
      <c r="K21" s="6" t="s">
        <v>26</v>
      </c>
      <c r="L21" s="6" t="s">
        <v>26</v>
      </c>
    </row>
    <row r="22" spans="1:12" ht="16" x14ac:dyDescent="0.2">
      <c r="A22" s="3">
        <v>21</v>
      </c>
      <c r="B22" s="4" t="s">
        <v>137</v>
      </c>
      <c r="C22" s="4" t="s">
        <v>35</v>
      </c>
      <c r="D22" s="4" t="s">
        <v>36</v>
      </c>
      <c r="E22" s="4" t="s">
        <v>15</v>
      </c>
      <c r="F22" s="4" t="s">
        <v>34</v>
      </c>
      <c r="G22" s="4" t="s">
        <v>54</v>
      </c>
      <c r="H22" s="4" t="s">
        <v>75</v>
      </c>
      <c r="I22" s="4" t="s">
        <v>23</v>
      </c>
      <c r="J22" s="4" t="s">
        <v>51</v>
      </c>
      <c r="K22" s="4" t="s">
        <v>64</v>
      </c>
      <c r="L22" s="4" t="s">
        <v>64</v>
      </c>
    </row>
    <row r="23" spans="1:12" ht="16" x14ac:dyDescent="0.2">
      <c r="A23" s="5">
        <v>22</v>
      </c>
      <c r="B23" s="6" t="s">
        <v>138</v>
      </c>
      <c r="C23" s="6" t="s">
        <v>98</v>
      </c>
      <c r="D23" s="6" t="s">
        <v>99</v>
      </c>
      <c r="E23" s="6" t="s">
        <v>34</v>
      </c>
      <c r="F23" s="6" t="s">
        <v>37</v>
      </c>
      <c r="G23" s="6" t="s">
        <v>54</v>
      </c>
      <c r="H23" s="6" t="s">
        <v>44</v>
      </c>
      <c r="I23" s="6" t="s">
        <v>75</v>
      </c>
      <c r="J23" s="6" t="s">
        <v>38</v>
      </c>
      <c r="K23" s="6" t="s">
        <v>22</v>
      </c>
      <c r="L23" s="6" t="s">
        <v>50</v>
      </c>
    </row>
    <row r="24" spans="1:12" ht="16" x14ac:dyDescent="0.2">
      <c r="A24" s="3">
        <v>23</v>
      </c>
      <c r="B24" s="4" t="s">
        <v>139</v>
      </c>
      <c r="C24" s="4" t="s">
        <v>141</v>
      </c>
      <c r="D24" s="4" t="s">
        <v>142</v>
      </c>
      <c r="E24" s="4" t="s">
        <v>15</v>
      </c>
      <c r="F24" s="4" t="s">
        <v>15</v>
      </c>
      <c r="G24" s="4" t="s">
        <v>15</v>
      </c>
      <c r="H24" s="4" t="s">
        <v>23</v>
      </c>
      <c r="I24" s="4" t="s">
        <v>38</v>
      </c>
      <c r="J24" s="4" t="s">
        <v>26</v>
      </c>
      <c r="K24" s="4" t="s">
        <v>26</v>
      </c>
      <c r="L24" s="4" t="s">
        <v>26</v>
      </c>
    </row>
    <row r="25" spans="1:12" ht="16" x14ac:dyDescent="0.2">
      <c r="A25" s="5">
        <v>24</v>
      </c>
      <c r="B25" s="6" t="s">
        <v>140</v>
      </c>
      <c r="C25" s="6" t="s">
        <v>141</v>
      </c>
      <c r="D25" s="6" t="s">
        <v>143</v>
      </c>
      <c r="E25" s="6" t="s">
        <v>43</v>
      </c>
      <c r="F25" s="6" t="s">
        <v>14</v>
      </c>
      <c r="G25" s="6" t="s">
        <v>20</v>
      </c>
      <c r="H25" s="6" t="s">
        <v>61</v>
      </c>
      <c r="I25" s="6" t="s">
        <v>26</v>
      </c>
      <c r="J25" s="6" t="s">
        <v>26</v>
      </c>
      <c r="K25" s="6" t="s">
        <v>26</v>
      </c>
      <c r="L25" s="6" t="s">
        <v>26</v>
      </c>
    </row>
    <row r="26" spans="1:12" ht="16" x14ac:dyDescent="0.2">
      <c r="A26" s="3">
        <v>25</v>
      </c>
      <c r="B26" s="4" t="s">
        <v>144</v>
      </c>
      <c r="C26" s="4" t="s">
        <v>48</v>
      </c>
      <c r="D26" s="4" t="s">
        <v>49</v>
      </c>
      <c r="E26" s="4" t="s">
        <v>27</v>
      </c>
      <c r="F26" s="4" t="s">
        <v>33</v>
      </c>
      <c r="G26" s="4" t="s">
        <v>41</v>
      </c>
      <c r="H26" s="4" t="s">
        <v>75</v>
      </c>
      <c r="I26" s="4" t="s">
        <v>34</v>
      </c>
      <c r="J26" s="4" t="s">
        <v>16</v>
      </c>
      <c r="K26" s="4" t="s">
        <v>168</v>
      </c>
      <c r="L26" s="4" t="s">
        <v>26</v>
      </c>
    </row>
    <row r="27" spans="1:12" ht="16" x14ac:dyDescent="0.2">
      <c r="A27" s="5">
        <v>26</v>
      </c>
      <c r="B27" s="6" t="s">
        <v>145</v>
      </c>
      <c r="C27" s="6" t="s">
        <v>67</v>
      </c>
      <c r="D27" s="6" t="s">
        <v>68</v>
      </c>
      <c r="E27" s="6" t="s">
        <v>69</v>
      </c>
      <c r="F27" s="6" t="s">
        <v>15</v>
      </c>
      <c r="G27" s="6" t="s">
        <v>37</v>
      </c>
      <c r="H27" s="6" t="s">
        <v>20</v>
      </c>
      <c r="I27" s="6" t="s">
        <v>23</v>
      </c>
      <c r="J27" s="6" t="s">
        <v>26</v>
      </c>
      <c r="K27" s="6" t="s">
        <v>26</v>
      </c>
      <c r="L27" s="6" t="s">
        <v>26</v>
      </c>
    </row>
    <row r="28" spans="1:12" ht="16" x14ac:dyDescent="0.2">
      <c r="A28" s="3">
        <v>27</v>
      </c>
      <c r="B28" s="4" t="s">
        <v>147</v>
      </c>
      <c r="C28" s="4" t="s">
        <v>86</v>
      </c>
      <c r="D28" s="4" t="s">
        <v>57</v>
      </c>
      <c r="E28" s="4" t="s">
        <v>55</v>
      </c>
      <c r="F28" s="4" t="s">
        <v>55</v>
      </c>
      <c r="G28" s="4" t="s">
        <v>54</v>
      </c>
      <c r="H28" s="4" t="s">
        <v>43</v>
      </c>
      <c r="I28" s="4" t="s">
        <v>75</v>
      </c>
      <c r="J28" s="4" t="s">
        <v>55</v>
      </c>
      <c r="K28" s="4" t="s">
        <v>26</v>
      </c>
      <c r="L28" s="4" t="s">
        <v>26</v>
      </c>
    </row>
    <row r="29" spans="1:12" ht="16" x14ac:dyDescent="0.2">
      <c r="A29" s="5">
        <v>28</v>
      </c>
      <c r="B29" s="6" t="s">
        <v>148</v>
      </c>
      <c r="C29" s="6" t="s">
        <v>82</v>
      </c>
      <c r="D29" s="6" t="s">
        <v>83</v>
      </c>
      <c r="E29" s="6" t="s">
        <v>34</v>
      </c>
      <c r="F29" s="6" t="s">
        <v>34</v>
      </c>
      <c r="G29" s="6" t="s">
        <v>47</v>
      </c>
      <c r="H29" s="6" t="s">
        <v>44</v>
      </c>
      <c r="I29" s="6" t="s">
        <v>94</v>
      </c>
      <c r="J29" s="6" t="s">
        <v>178</v>
      </c>
      <c r="K29" s="6" t="s">
        <v>26</v>
      </c>
      <c r="L29" s="6" t="s">
        <v>26</v>
      </c>
    </row>
    <row r="30" spans="1:12" ht="16" x14ac:dyDescent="0.2">
      <c r="A30" s="3">
        <v>29</v>
      </c>
      <c r="B30" s="4" t="s">
        <v>149</v>
      </c>
      <c r="C30" s="4" t="s">
        <v>150</v>
      </c>
      <c r="D30" s="4" t="s">
        <v>151</v>
      </c>
      <c r="E30" s="4" t="s">
        <v>47</v>
      </c>
      <c r="F30" s="4" t="s">
        <v>47</v>
      </c>
      <c r="G30" s="4" t="s">
        <v>14</v>
      </c>
      <c r="H30" s="4" t="s">
        <v>14</v>
      </c>
      <c r="I30" s="4" t="s">
        <v>165</v>
      </c>
      <c r="J30" s="4" t="s">
        <v>165</v>
      </c>
      <c r="K30" s="4" t="s">
        <v>26</v>
      </c>
      <c r="L30" s="4" t="s">
        <v>26</v>
      </c>
    </row>
    <row r="31" spans="1:12" ht="16" x14ac:dyDescent="0.2">
      <c r="A31" s="5">
        <v>30</v>
      </c>
      <c r="B31" s="6" t="s">
        <v>152</v>
      </c>
      <c r="C31" s="6" t="s">
        <v>52</v>
      </c>
      <c r="D31" s="6" t="s">
        <v>53</v>
      </c>
      <c r="E31" s="6" t="s">
        <v>16</v>
      </c>
      <c r="F31" s="6" t="s">
        <v>180</v>
      </c>
      <c r="G31" s="6" t="s">
        <v>54</v>
      </c>
      <c r="H31" s="6" t="s">
        <v>32</v>
      </c>
      <c r="I31" s="6" t="s">
        <v>32</v>
      </c>
      <c r="J31" s="6" t="s">
        <v>94</v>
      </c>
      <c r="K31" s="6" t="s">
        <v>15</v>
      </c>
      <c r="L31" s="6" t="s">
        <v>33</v>
      </c>
    </row>
    <row r="32" spans="1:12" ht="16" x14ac:dyDescent="0.2">
      <c r="A32" s="3">
        <v>31</v>
      </c>
      <c r="B32" s="4" t="s">
        <v>91</v>
      </c>
      <c r="C32" s="4" t="s">
        <v>92</v>
      </c>
      <c r="D32" s="4" t="s">
        <v>93</v>
      </c>
      <c r="E32" s="4" t="s">
        <v>34</v>
      </c>
      <c r="F32" s="4" t="s">
        <v>27</v>
      </c>
      <c r="G32" s="4" t="s">
        <v>20</v>
      </c>
      <c r="H32" s="4" t="s">
        <v>74</v>
      </c>
      <c r="I32" s="4" t="s">
        <v>37</v>
      </c>
      <c r="J32" s="4" t="s">
        <v>179</v>
      </c>
      <c r="K32" s="4" t="s">
        <v>26</v>
      </c>
      <c r="L32" s="4" t="s">
        <v>26</v>
      </c>
    </row>
    <row r="33" spans="1:12" ht="16" x14ac:dyDescent="0.2">
      <c r="A33" s="5">
        <v>32</v>
      </c>
      <c r="B33" s="6" t="s">
        <v>153</v>
      </c>
      <c r="C33" s="6" t="s">
        <v>89</v>
      </c>
      <c r="D33" s="6" t="s">
        <v>90</v>
      </c>
      <c r="E33" s="6" t="s">
        <v>34</v>
      </c>
      <c r="F33" s="6" t="s">
        <v>32</v>
      </c>
      <c r="G33" s="6" t="s">
        <v>41</v>
      </c>
      <c r="H33" s="6" t="s">
        <v>94</v>
      </c>
      <c r="I33" s="6" t="s">
        <v>28</v>
      </c>
      <c r="J33" s="6" t="s">
        <v>169</v>
      </c>
      <c r="K33" s="6" t="s">
        <v>34</v>
      </c>
      <c r="L33" s="6" t="s">
        <v>94</v>
      </c>
    </row>
    <row r="34" spans="1:12" ht="16" x14ac:dyDescent="0.2">
      <c r="A34" s="3">
        <v>33</v>
      </c>
      <c r="B34" s="4" t="s">
        <v>159</v>
      </c>
      <c r="C34" s="4" t="s">
        <v>154</v>
      </c>
      <c r="D34" s="4" t="s">
        <v>155</v>
      </c>
      <c r="E34" s="4" t="s">
        <v>15</v>
      </c>
      <c r="F34" s="4" t="s">
        <v>15</v>
      </c>
      <c r="G34" s="4" t="s">
        <v>51</v>
      </c>
      <c r="H34" s="4" t="s">
        <v>29</v>
      </c>
      <c r="I34" s="4" t="s">
        <v>33</v>
      </c>
      <c r="J34" s="4" t="s">
        <v>167</v>
      </c>
      <c r="K34" s="4" t="s">
        <v>88</v>
      </c>
      <c r="L34" s="4" t="s">
        <v>22</v>
      </c>
    </row>
    <row r="35" spans="1:12" ht="16" x14ac:dyDescent="0.2">
      <c r="A35" s="5">
        <v>34</v>
      </c>
      <c r="B35" s="6" t="s">
        <v>162</v>
      </c>
      <c r="C35" s="6" t="s">
        <v>156</v>
      </c>
      <c r="D35" s="6" t="s">
        <v>99</v>
      </c>
      <c r="E35" s="6" t="s">
        <v>69</v>
      </c>
      <c r="F35" s="6" t="s">
        <v>75</v>
      </c>
      <c r="G35" s="6" t="s">
        <v>50</v>
      </c>
      <c r="H35" s="6" t="s">
        <v>27</v>
      </c>
      <c r="I35" s="6" t="s">
        <v>22</v>
      </c>
      <c r="J35" s="6" t="s">
        <v>32</v>
      </c>
      <c r="K35" s="6" t="s">
        <v>28</v>
      </c>
      <c r="L35" s="6" t="s">
        <v>168</v>
      </c>
    </row>
    <row r="36" spans="1:12" ht="16" x14ac:dyDescent="0.2">
      <c r="A36" s="3">
        <v>35</v>
      </c>
      <c r="B36" s="4" t="s">
        <v>163</v>
      </c>
      <c r="C36" s="4" t="s">
        <v>72</v>
      </c>
      <c r="D36" s="4" t="s">
        <v>73</v>
      </c>
      <c r="E36" s="4" t="s">
        <v>14</v>
      </c>
      <c r="F36" s="4" t="s">
        <v>14</v>
      </c>
      <c r="G36" s="4" t="s">
        <v>34</v>
      </c>
      <c r="H36" s="4" t="s">
        <v>34</v>
      </c>
      <c r="I36" s="4" t="s">
        <v>75</v>
      </c>
      <c r="J36" s="4" t="s">
        <v>25</v>
      </c>
      <c r="K36" s="4" t="s">
        <v>26</v>
      </c>
      <c r="L36" s="4" t="s">
        <v>26</v>
      </c>
    </row>
    <row r="37" spans="1:12" ht="16" x14ac:dyDescent="0.2">
      <c r="A37" s="5">
        <v>36</v>
      </c>
      <c r="B37" s="6" t="s">
        <v>101</v>
      </c>
      <c r="C37" s="6" t="s">
        <v>102</v>
      </c>
      <c r="D37" s="6" t="s">
        <v>103</v>
      </c>
      <c r="E37" s="6" t="s">
        <v>43</v>
      </c>
      <c r="F37" s="6" t="s">
        <v>15</v>
      </c>
      <c r="G37" s="6" t="s">
        <v>166</v>
      </c>
      <c r="H37" s="6" t="s">
        <v>170</v>
      </c>
      <c r="I37" s="6" t="s">
        <v>26</v>
      </c>
      <c r="J37" s="6" t="s">
        <v>26</v>
      </c>
      <c r="K37" s="6" t="s">
        <v>26</v>
      </c>
      <c r="L37" s="6" t="s">
        <v>26</v>
      </c>
    </row>
    <row r="38" spans="1:12" ht="16" x14ac:dyDescent="0.2">
      <c r="A38" s="3">
        <v>37</v>
      </c>
      <c r="B38" s="4" t="s">
        <v>160</v>
      </c>
      <c r="C38" s="4" t="s">
        <v>157</v>
      </c>
      <c r="D38" s="4" t="s">
        <v>158</v>
      </c>
      <c r="E38" s="4" t="s">
        <v>43</v>
      </c>
      <c r="F38" s="4" t="s">
        <v>58</v>
      </c>
      <c r="G38" s="4" t="s">
        <v>54</v>
      </c>
      <c r="H38" s="4" t="s">
        <v>22</v>
      </c>
      <c r="I38" s="4" t="s">
        <v>168</v>
      </c>
      <c r="J38" s="4" t="s">
        <v>26</v>
      </c>
      <c r="K38" s="4" t="s">
        <v>26</v>
      </c>
      <c r="L38" s="4" t="s">
        <v>26</v>
      </c>
    </row>
    <row r="39" spans="1:12" ht="16" x14ac:dyDescent="0.2">
      <c r="A39" s="5">
        <v>38</v>
      </c>
      <c r="B39" s="6" t="s">
        <v>17</v>
      </c>
      <c r="C39" s="6" t="s">
        <v>18</v>
      </c>
      <c r="D39" s="6" t="s">
        <v>19</v>
      </c>
      <c r="E39" s="6" t="s">
        <v>15</v>
      </c>
      <c r="F39" s="6" t="s">
        <v>15</v>
      </c>
      <c r="G39" s="6" t="s">
        <v>47</v>
      </c>
      <c r="H39" s="6" t="s">
        <v>75</v>
      </c>
      <c r="I39" s="6" t="s">
        <v>28</v>
      </c>
      <c r="J39" s="6" t="s">
        <v>168</v>
      </c>
      <c r="K39" s="6" t="s">
        <v>24</v>
      </c>
      <c r="L39" s="6" t="s">
        <v>177</v>
      </c>
    </row>
    <row r="40" spans="1:12" ht="16" x14ac:dyDescent="0.2">
      <c r="A40" s="3">
        <v>39</v>
      </c>
      <c r="B40" s="4" t="s">
        <v>161</v>
      </c>
      <c r="C40" s="4" t="s">
        <v>70</v>
      </c>
      <c r="D40" s="4" t="s">
        <v>71</v>
      </c>
      <c r="E40" s="4" t="s">
        <v>34</v>
      </c>
      <c r="F40" s="4" t="s">
        <v>27</v>
      </c>
      <c r="G40" s="4" t="s">
        <v>176</v>
      </c>
      <c r="H40" s="4" t="s">
        <v>164</v>
      </c>
      <c r="I40" s="4" t="s">
        <v>75</v>
      </c>
      <c r="J40" s="4" t="s">
        <v>54</v>
      </c>
      <c r="K40" s="4" t="s">
        <v>55</v>
      </c>
      <c r="L40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12A9-CE0F-0A46-8D99-235F662D3CFD}">
  <dimension ref="D9:W105"/>
  <sheetViews>
    <sheetView workbookViewId="0">
      <selection activeCell="U10" sqref="U10:U105"/>
    </sheetView>
  </sheetViews>
  <sheetFormatPr baseColWidth="10" defaultRowHeight="15" x14ac:dyDescent="0.2"/>
  <cols>
    <col min="5" max="5" width="10.83203125" style="13"/>
    <col min="6" max="6" width="63" style="10" customWidth="1"/>
    <col min="7" max="14" width="10.83203125" style="10"/>
    <col min="20" max="21" width="23.33203125" customWidth="1"/>
    <col min="22" max="22" width="51.83203125" style="19" customWidth="1"/>
  </cols>
  <sheetData>
    <row r="9" spans="4:23" ht="19" x14ac:dyDescent="0.25">
      <c r="D9" s="18" t="s">
        <v>181</v>
      </c>
      <c r="E9" s="8" t="s">
        <v>182</v>
      </c>
      <c r="F9" s="11" t="s">
        <v>183</v>
      </c>
      <c r="G9" s="8" t="s">
        <v>184</v>
      </c>
      <c r="H9" s="8" t="s">
        <v>185</v>
      </c>
      <c r="I9" s="8" t="s">
        <v>186</v>
      </c>
      <c r="J9" s="8" t="s">
        <v>187</v>
      </c>
      <c r="K9" s="8" t="s">
        <v>188</v>
      </c>
      <c r="L9" s="8" t="s">
        <v>189</v>
      </c>
      <c r="M9" s="8" t="s">
        <v>190</v>
      </c>
      <c r="N9"/>
      <c r="T9" s="14" t="s">
        <v>240</v>
      </c>
      <c r="U9" s="14"/>
      <c r="V9" s="20" t="s">
        <v>241</v>
      </c>
    </row>
    <row r="10" spans="4:23" ht="20" x14ac:dyDescent="0.25">
      <c r="D10" s="9"/>
      <c r="E10" s="9">
        <v>1</v>
      </c>
      <c r="F10" s="12" t="s">
        <v>51</v>
      </c>
      <c r="G10" s="9">
        <v>-7</v>
      </c>
      <c r="H10" s="9">
        <v>-7</v>
      </c>
      <c r="I10" s="9" t="s">
        <v>193</v>
      </c>
      <c r="J10" s="9">
        <v>65</v>
      </c>
      <c r="K10" s="9" t="s">
        <v>191</v>
      </c>
      <c r="L10" s="9" t="s">
        <v>191</v>
      </c>
      <c r="M10" s="9" t="s">
        <v>191</v>
      </c>
      <c r="N10" s="9">
        <v>65</v>
      </c>
      <c r="T10" s="15">
        <v>1</v>
      </c>
      <c r="U10" s="16" t="s">
        <v>194</v>
      </c>
      <c r="V10" s="21" t="s">
        <v>194</v>
      </c>
      <c r="W10">
        <f>+VLOOKUP(V10,$F$10:$N$104,5,FALSE)</f>
        <v>68</v>
      </c>
    </row>
    <row r="11" spans="4:23" ht="20" x14ac:dyDescent="0.25">
      <c r="D11" s="9"/>
      <c r="E11" s="9" t="s">
        <v>192</v>
      </c>
      <c r="F11" s="12" t="s">
        <v>38</v>
      </c>
      <c r="G11" s="9">
        <v>-4</v>
      </c>
      <c r="H11" s="9">
        <v>-4</v>
      </c>
      <c r="I11" s="9" t="s">
        <v>193</v>
      </c>
      <c r="J11" s="9">
        <v>68</v>
      </c>
      <c r="K11" s="9" t="s">
        <v>191</v>
      </c>
      <c r="L11" s="9" t="s">
        <v>191</v>
      </c>
      <c r="M11" s="9" t="s">
        <v>191</v>
      </c>
      <c r="N11" s="9">
        <v>68</v>
      </c>
      <c r="T11" s="15">
        <v>2</v>
      </c>
      <c r="U11" s="16" t="s">
        <v>43</v>
      </c>
      <c r="V11" s="21" t="s">
        <v>43</v>
      </c>
      <c r="W11">
        <f t="shared" ref="W11:W74" si="0">+VLOOKUP(V11,$F$10:$N$104,5,FALSE)</f>
        <v>72</v>
      </c>
    </row>
    <row r="12" spans="4:23" ht="20" x14ac:dyDescent="0.25">
      <c r="D12" s="9"/>
      <c r="E12" s="9" t="s">
        <v>192</v>
      </c>
      <c r="F12" s="12" t="s">
        <v>194</v>
      </c>
      <c r="G12" s="9">
        <v>-4</v>
      </c>
      <c r="H12" s="9">
        <v>-4</v>
      </c>
      <c r="I12" s="9" t="s">
        <v>193</v>
      </c>
      <c r="J12" s="9">
        <v>68</v>
      </c>
      <c r="K12" s="9" t="s">
        <v>191</v>
      </c>
      <c r="L12" s="9" t="s">
        <v>191</v>
      </c>
      <c r="M12" s="9" t="s">
        <v>191</v>
      </c>
      <c r="N12" s="9">
        <v>68</v>
      </c>
      <c r="T12" s="15">
        <v>3</v>
      </c>
      <c r="U12" s="16" t="s">
        <v>69</v>
      </c>
      <c r="V12" s="21" t="s">
        <v>69</v>
      </c>
      <c r="W12">
        <f t="shared" si="0"/>
        <v>75</v>
      </c>
    </row>
    <row r="13" spans="4:23" ht="20" x14ac:dyDescent="0.25">
      <c r="D13" s="9"/>
      <c r="E13" s="9" t="s">
        <v>192</v>
      </c>
      <c r="F13" s="12" t="s">
        <v>209</v>
      </c>
      <c r="G13" s="9">
        <v>-4</v>
      </c>
      <c r="H13" s="9">
        <v>-4</v>
      </c>
      <c r="I13" s="9" t="s">
        <v>193</v>
      </c>
      <c r="J13" s="9">
        <v>68</v>
      </c>
      <c r="K13" s="9" t="s">
        <v>191</v>
      </c>
      <c r="L13" s="9" t="s">
        <v>191</v>
      </c>
      <c r="M13" s="9" t="s">
        <v>191</v>
      </c>
      <c r="N13" s="9">
        <v>68</v>
      </c>
      <c r="T13" s="15">
        <v>4</v>
      </c>
      <c r="U13" s="16" t="s">
        <v>15</v>
      </c>
      <c r="V13" s="21" t="s">
        <v>209</v>
      </c>
      <c r="W13">
        <f t="shared" si="0"/>
        <v>68</v>
      </c>
    </row>
    <row r="14" spans="4:23" ht="20" x14ac:dyDescent="0.25">
      <c r="D14" s="9"/>
      <c r="E14" s="9" t="s">
        <v>251</v>
      </c>
      <c r="F14" s="12" t="s">
        <v>164</v>
      </c>
      <c r="G14" s="9">
        <v>-3</v>
      </c>
      <c r="H14" s="9">
        <v>-3</v>
      </c>
      <c r="I14" s="9" t="s">
        <v>193</v>
      </c>
      <c r="J14" s="9">
        <v>69</v>
      </c>
      <c r="K14" s="9" t="s">
        <v>191</v>
      </c>
      <c r="L14" s="9" t="s">
        <v>191</v>
      </c>
      <c r="M14" s="9" t="s">
        <v>191</v>
      </c>
      <c r="N14" s="9">
        <v>69</v>
      </c>
      <c r="T14" s="15">
        <v>5</v>
      </c>
      <c r="U14" s="16" t="s">
        <v>34</v>
      </c>
      <c r="V14" s="21" t="s">
        <v>34</v>
      </c>
      <c r="W14">
        <f t="shared" si="0"/>
        <v>72</v>
      </c>
    </row>
    <row r="15" spans="4:23" ht="20" x14ac:dyDescent="0.25">
      <c r="D15" s="9"/>
      <c r="E15" s="9" t="s">
        <v>251</v>
      </c>
      <c r="F15" s="12" t="s">
        <v>47</v>
      </c>
      <c r="G15" s="9">
        <v>-3</v>
      </c>
      <c r="H15" s="9">
        <v>-3</v>
      </c>
      <c r="I15" s="9" t="s">
        <v>193</v>
      </c>
      <c r="J15" s="9">
        <v>69</v>
      </c>
      <c r="K15" s="9" t="s">
        <v>191</v>
      </c>
      <c r="L15" s="9" t="s">
        <v>191</v>
      </c>
      <c r="M15" s="9" t="s">
        <v>191</v>
      </c>
      <c r="N15" s="9">
        <v>69</v>
      </c>
      <c r="T15" s="15">
        <v>6</v>
      </c>
      <c r="U15" s="16" t="s">
        <v>27</v>
      </c>
      <c r="V15" s="21" t="s">
        <v>27</v>
      </c>
      <c r="W15">
        <f t="shared" si="0"/>
        <v>73</v>
      </c>
    </row>
    <row r="16" spans="4:23" ht="20" x14ac:dyDescent="0.25">
      <c r="D16" s="9"/>
      <c r="E16" s="9" t="s">
        <v>252</v>
      </c>
      <c r="F16" s="12" t="s">
        <v>195</v>
      </c>
      <c r="G16" s="9">
        <v>-2</v>
      </c>
      <c r="H16" s="9">
        <v>-2</v>
      </c>
      <c r="I16" s="9" t="s">
        <v>193</v>
      </c>
      <c r="J16" s="9">
        <v>70</v>
      </c>
      <c r="K16" s="9" t="s">
        <v>191</v>
      </c>
      <c r="L16" s="9" t="s">
        <v>191</v>
      </c>
      <c r="M16" s="9" t="s">
        <v>191</v>
      </c>
      <c r="N16" s="9">
        <v>70</v>
      </c>
      <c r="T16" s="15">
        <v>7</v>
      </c>
      <c r="U16" s="16" t="s">
        <v>47</v>
      </c>
      <c r="V16" s="21" t="s">
        <v>47</v>
      </c>
      <c r="W16">
        <f t="shared" si="0"/>
        <v>69</v>
      </c>
    </row>
    <row r="17" spans="4:23" ht="20" x14ac:dyDescent="0.25">
      <c r="D17" s="9"/>
      <c r="E17" s="9" t="s">
        <v>252</v>
      </c>
      <c r="F17" s="12" t="s">
        <v>173</v>
      </c>
      <c r="G17" s="9">
        <v>-2</v>
      </c>
      <c r="H17" s="9">
        <v>-2</v>
      </c>
      <c r="I17" s="9" t="s">
        <v>193</v>
      </c>
      <c r="J17" s="9">
        <v>70</v>
      </c>
      <c r="K17" s="9" t="s">
        <v>191</v>
      </c>
      <c r="L17" s="9" t="s">
        <v>191</v>
      </c>
      <c r="M17" s="9" t="s">
        <v>191</v>
      </c>
      <c r="N17" s="9">
        <v>70</v>
      </c>
      <c r="T17" s="15">
        <v>8</v>
      </c>
      <c r="U17" s="16" t="s">
        <v>33</v>
      </c>
      <c r="V17" s="21" t="s">
        <v>33</v>
      </c>
      <c r="W17">
        <f t="shared" si="0"/>
        <v>73</v>
      </c>
    </row>
    <row r="18" spans="4:23" ht="20" x14ac:dyDescent="0.25">
      <c r="D18" s="9"/>
      <c r="E18" s="9" t="s">
        <v>252</v>
      </c>
      <c r="F18" s="12" t="s">
        <v>50</v>
      </c>
      <c r="G18" s="9">
        <v>-2</v>
      </c>
      <c r="H18" s="9">
        <v>-2</v>
      </c>
      <c r="I18" s="9" t="s">
        <v>193</v>
      </c>
      <c r="J18" s="9">
        <v>70</v>
      </c>
      <c r="K18" s="9" t="s">
        <v>191</v>
      </c>
      <c r="L18" s="9" t="s">
        <v>191</v>
      </c>
      <c r="M18" s="9" t="s">
        <v>191</v>
      </c>
      <c r="N18" s="9">
        <v>70</v>
      </c>
      <c r="T18" s="15">
        <v>9</v>
      </c>
      <c r="U18" s="16" t="s">
        <v>14</v>
      </c>
      <c r="V18" s="21" t="s">
        <v>204</v>
      </c>
      <c r="W18">
        <f t="shared" si="0"/>
        <v>72</v>
      </c>
    </row>
    <row r="19" spans="4:23" ht="20" x14ac:dyDescent="0.25">
      <c r="D19" s="9"/>
      <c r="E19" s="9" t="s">
        <v>252</v>
      </c>
      <c r="F19" s="12" t="s">
        <v>42</v>
      </c>
      <c r="G19" s="9">
        <v>-2</v>
      </c>
      <c r="H19" s="9">
        <v>-2</v>
      </c>
      <c r="I19" s="9" t="s">
        <v>193</v>
      </c>
      <c r="J19" s="9">
        <v>70</v>
      </c>
      <c r="K19" s="9" t="s">
        <v>191</v>
      </c>
      <c r="L19" s="9" t="s">
        <v>191</v>
      </c>
      <c r="M19" s="9" t="s">
        <v>191</v>
      </c>
      <c r="N19" s="9">
        <v>70</v>
      </c>
      <c r="T19" s="15">
        <v>10</v>
      </c>
      <c r="U19" s="16" t="s">
        <v>37</v>
      </c>
      <c r="V19" s="21" t="s">
        <v>37</v>
      </c>
      <c r="W19">
        <f t="shared" si="0"/>
        <v>73</v>
      </c>
    </row>
    <row r="20" spans="4:23" ht="20" x14ac:dyDescent="0.25">
      <c r="D20" s="9"/>
      <c r="E20" s="9" t="s">
        <v>253</v>
      </c>
      <c r="F20" s="12" t="s">
        <v>198</v>
      </c>
      <c r="G20" s="9">
        <v>-1</v>
      </c>
      <c r="H20" s="9">
        <v>-1</v>
      </c>
      <c r="I20" s="9" t="s">
        <v>193</v>
      </c>
      <c r="J20" s="9">
        <v>71</v>
      </c>
      <c r="K20" s="9" t="s">
        <v>191</v>
      </c>
      <c r="L20" s="9" t="s">
        <v>191</v>
      </c>
      <c r="M20" s="9" t="s">
        <v>191</v>
      </c>
      <c r="N20" s="9">
        <v>71</v>
      </c>
      <c r="T20" s="15">
        <v>11</v>
      </c>
      <c r="U20" s="16" t="s">
        <v>20</v>
      </c>
      <c r="V20" s="21" t="s">
        <v>20</v>
      </c>
      <c r="W20">
        <f t="shared" si="0"/>
        <v>74</v>
      </c>
    </row>
    <row r="21" spans="4:23" ht="20" x14ac:dyDescent="0.25">
      <c r="D21" s="9"/>
      <c r="E21" s="9" t="s">
        <v>253</v>
      </c>
      <c r="F21" s="12" t="s">
        <v>199</v>
      </c>
      <c r="G21" s="9">
        <v>-1</v>
      </c>
      <c r="H21" s="9">
        <v>-1</v>
      </c>
      <c r="I21" s="9" t="s">
        <v>193</v>
      </c>
      <c r="J21" s="9">
        <v>71</v>
      </c>
      <c r="K21" s="9" t="s">
        <v>191</v>
      </c>
      <c r="L21" s="9" t="s">
        <v>191</v>
      </c>
      <c r="M21" s="9" t="s">
        <v>191</v>
      </c>
      <c r="N21" s="9">
        <v>71</v>
      </c>
      <c r="T21" s="15">
        <v>12</v>
      </c>
      <c r="U21" s="16" t="s">
        <v>74</v>
      </c>
      <c r="V21" s="21" t="s">
        <v>74</v>
      </c>
      <c r="W21">
        <f t="shared" si="0"/>
        <v>73</v>
      </c>
    </row>
    <row r="22" spans="4:23" ht="20" x14ac:dyDescent="0.25">
      <c r="D22" s="9"/>
      <c r="E22" s="9" t="s">
        <v>253</v>
      </c>
      <c r="F22" s="12" t="s">
        <v>23</v>
      </c>
      <c r="G22" s="9">
        <v>-1</v>
      </c>
      <c r="H22" s="9">
        <v>-1</v>
      </c>
      <c r="I22" s="9" t="s">
        <v>193</v>
      </c>
      <c r="J22" s="9">
        <v>71</v>
      </c>
      <c r="K22" s="9" t="s">
        <v>191</v>
      </c>
      <c r="L22" s="9" t="s">
        <v>191</v>
      </c>
      <c r="M22" s="9" t="s">
        <v>191</v>
      </c>
      <c r="N22" s="9">
        <v>71</v>
      </c>
      <c r="T22" s="15">
        <v>13</v>
      </c>
      <c r="U22" s="16" t="s">
        <v>58</v>
      </c>
      <c r="V22" s="21" t="s">
        <v>58</v>
      </c>
      <c r="W22">
        <f t="shared" si="0"/>
        <v>73</v>
      </c>
    </row>
    <row r="23" spans="4:23" ht="20" x14ac:dyDescent="0.25">
      <c r="D23" s="9"/>
      <c r="E23" s="9" t="s">
        <v>253</v>
      </c>
      <c r="F23" s="12" t="s">
        <v>200</v>
      </c>
      <c r="G23" s="9">
        <v>-1</v>
      </c>
      <c r="H23" s="9">
        <v>-1</v>
      </c>
      <c r="I23" s="9" t="s">
        <v>193</v>
      </c>
      <c r="J23" s="9">
        <v>71</v>
      </c>
      <c r="K23" s="9" t="s">
        <v>191</v>
      </c>
      <c r="L23" s="9" t="s">
        <v>191</v>
      </c>
      <c r="M23" s="9" t="s">
        <v>191</v>
      </c>
      <c r="N23" s="9">
        <v>71</v>
      </c>
      <c r="T23" s="15">
        <v>14</v>
      </c>
      <c r="U23" s="16" t="s">
        <v>54</v>
      </c>
      <c r="V23" s="21" t="s">
        <v>54</v>
      </c>
      <c r="W23">
        <f t="shared" si="0"/>
        <v>71</v>
      </c>
    </row>
    <row r="24" spans="4:23" ht="20" x14ac:dyDescent="0.25">
      <c r="D24" s="9"/>
      <c r="E24" s="9" t="s">
        <v>253</v>
      </c>
      <c r="F24" s="12" t="s">
        <v>55</v>
      </c>
      <c r="G24" s="9">
        <v>-1</v>
      </c>
      <c r="H24" s="9">
        <v>-1</v>
      </c>
      <c r="I24" s="9" t="s">
        <v>193</v>
      </c>
      <c r="J24" s="9">
        <v>71</v>
      </c>
      <c r="K24" s="9" t="s">
        <v>191</v>
      </c>
      <c r="L24" s="9" t="s">
        <v>191</v>
      </c>
      <c r="M24" s="9" t="s">
        <v>191</v>
      </c>
      <c r="N24" s="9">
        <v>71</v>
      </c>
      <c r="T24" s="15">
        <v>15</v>
      </c>
      <c r="U24" s="16" t="s">
        <v>32</v>
      </c>
      <c r="V24" s="21" t="s">
        <v>32</v>
      </c>
      <c r="W24">
        <f t="shared" si="0"/>
        <v>71</v>
      </c>
    </row>
    <row r="25" spans="4:23" ht="20" x14ac:dyDescent="0.25">
      <c r="D25" s="9"/>
      <c r="E25" s="9" t="s">
        <v>253</v>
      </c>
      <c r="F25" s="12" t="s">
        <v>29</v>
      </c>
      <c r="G25" s="9">
        <v>-1</v>
      </c>
      <c r="H25" s="9">
        <v>-1</v>
      </c>
      <c r="I25" s="9" t="s">
        <v>193</v>
      </c>
      <c r="J25" s="9">
        <v>71</v>
      </c>
      <c r="K25" s="9" t="s">
        <v>191</v>
      </c>
      <c r="L25" s="9" t="s">
        <v>191</v>
      </c>
      <c r="M25" s="9" t="s">
        <v>191</v>
      </c>
      <c r="N25" s="9">
        <v>71</v>
      </c>
      <c r="T25" s="15">
        <v>16</v>
      </c>
      <c r="U25" s="16" t="s">
        <v>44</v>
      </c>
      <c r="V25" s="21" t="s">
        <v>44</v>
      </c>
      <c r="W25">
        <f t="shared" si="0"/>
        <v>74</v>
      </c>
    </row>
    <row r="26" spans="4:23" ht="20" x14ac:dyDescent="0.25">
      <c r="D26" s="9"/>
      <c r="E26" s="9" t="s">
        <v>253</v>
      </c>
      <c r="F26" s="12" t="s">
        <v>175</v>
      </c>
      <c r="G26" s="9">
        <v>-1</v>
      </c>
      <c r="H26" s="9">
        <v>-1</v>
      </c>
      <c r="I26" s="9" t="s">
        <v>193</v>
      </c>
      <c r="J26" s="9">
        <v>71</v>
      </c>
      <c r="K26" s="9" t="s">
        <v>191</v>
      </c>
      <c r="L26" s="9" t="s">
        <v>191</v>
      </c>
      <c r="M26" s="9" t="s">
        <v>191</v>
      </c>
      <c r="N26" s="9">
        <v>71</v>
      </c>
      <c r="T26" s="15">
        <v>17</v>
      </c>
      <c r="U26" s="16" t="s">
        <v>164</v>
      </c>
      <c r="V26" s="21" t="s">
        <v>164</v>
      </c>
      <c r="W26">
        <f t="shared" si="0"/>
        <v>69</v>
      </c>
    </row>
    <row r="27" spans="4:23" ht="20" x14ac:dyDescent="0.25">
      <c r="D27" s="9"/>
      <c r="E27" s="9" t="s">
        <v>253</v>
      </c>
      <c r="F27" s="12" t="s">
        <v>75</v>
      </c>
      <c r="G27" s="9">
        <v>-1</v>
      </c>
      <c r="H27" s="9">
        <v>-1</v>
      </c>
      <c r="I27" s="9" t="s">
        <v>193</v>
      </c>
      <c r="J27" s="9">
        <v>71</v>
      </c>
      <c r="K27" s="9" t="s">
        <v>191</v>
      </c>
      <c r="L27" s="9" t="s">
        <v>191</v>
      </c>
      <c r="M27" s="9" t="s">
        <v>191</v>
      </c>
      <c r="N27" s="9">
        <v>71</v>
      </c>
      <c r="T27" s="15">
        <v>18</v>
      </c>
      <c r="U27" s="16" t="s">
        <v>41</v>
      </c>
      <c r="V27" s="21" t="s">
        <v>41</v>
      </c>
      <c r="W27">
        <f t="shared" si="0"/>
        <v>79</v>
      </c>
    </row>
    <row r="28" spans="4:23" ht="20" x14ac:dyDescent="0.25">
      <c r="D28" s="9"/>
      <c r="E28" s="9" t="s">
        <v>253</v>
      </c>
      <c r="F28" s="12" t="s">
        <v>88</v>
      </c>
      <c r="G28" s="9">
        <v>-1</v>
      </c>
      <c r="H28" s="9">
        <v>-1</v>
      </c>
      <c r="I28" s="9" t="s">
        <v>193</v>
      </c>
      <c r="J28" s="9">
        <v>71</v>
      </c>
      <c r="K28" s="9" t="s">
        <v>191</v>
      </c>
      <c r="L28" s="9" t="s">
        <v>191</v>
      </c>
      <c r="M28" s="9" t="s">
        <v>191</v>
      </c>
      <c r="N28" s="9">
        <v>71</v>
      </c>
      <c r="T28" s="15">
        <v>19</v>
      </c>
      <c r="U28" s="16" t="s">
        <v>165</v>
      </c>
      <c r="V28" s="21" t="s">
        <v>165</v>
      </c>
      <c r="W28">
        <f t="shared" si="0"/>
        <v>75</v>
      </c>
    </row>
    <row r="29" spans="4:23" ht="20" x14ac:dyDescent="0.25">
      <c r="D29" s="9"/>
      <c r="E29" s="9" t="s">
        <v>253</v>
      </c>
      <c r="F29" s="12" t="s">
        <v>201</v>
      </c>
      <c r="G29" s="9">
        <v>-1</v>
      </c>
      <c r="H29" s="9">
        <v>-1</v>
      </c>
      <c r="I29" s="9" t="s">
        <v>193</v>
      </c>
      <c r="J29" s="9">
        <v>71</v>
      </c>
      <c r="K29" s="9" t="s">
        <v>191</v>
      </c>
      <c r="L29" s="9" t="s">
        <v>191</v>
      </c>
      <c r="M29" s="9" t="s">
        <v>191</v>
      </c>
      <c r="N29" s="9">
        <v>71</v>
      </c>
      <c r="T29" s="15">
        <v>20</v>
      </c>
      <c r="U29" s="16" t="s">
        <v>75</v>
      </c>
      <c r="V29" s="21" t="s">
        <v>75</v>
      </c>
      <c r="W29">
        <f t="shared" si="0"/>
        <v>71</v>
      </c>
    </row>
    <row r="30" spans="4:23" ht="20" x14ac:dyDescent="0.25">
      <c r="D30" s="9"/>
      <c r="E30" s="9" t="s">
        <v>253</v>
      </c>
      <c r="F30" s="12" t="s">
        <v>196</v>
      </c>
      <c r="G30" s="9">
        <v>-1</v>
      </c>
      <c r="H30" s="9">
        <v>-1</v>
      </c>
      <c r="I30" s="9" t="s">
        <v>193</v>
      </c>
      <c r="J30" s="9">
        <v>71</v>
      </c>
      <c r="K30" s="9" t="s">
        <v>191</v>
      </c>
      <c r="L30" s="9" t="s">
        <v>191</v>
      </c>
      <c r="M30" s="9" t="s">
        <v>191</v>
      </c>
      <c r="N30" s="9">
        <v>71</v>
      </c>
      <c r="T30" s="15">
        <v>21</v>
      </c>
      <c r="U30" s="16" t="s">
        <v>21</v>
      </c>
      <c r="V30" s="21" t="s">
        <v>21</v>
      </c>
      <c r="W30">
        <f t="shared" si="0"/>
        <v>74</v>
      </c>
    </row>
    <row r="31" spans="4:23" ht="20" x14ac:dyDescent="0.25">
      <c r="D31" s="9"/>
      <c r="E31" s="9" t="s">
        <v>253</v>
      </c>
      <c r="F31" s="12" t="s">
        <v>166</v>
      </c>
      <c r="G31" s="9">
        <v>-1</v>
      </c>
      <c r="H31" s="9">
        <v>-1</v>
      </c>
      <c r="I31" s="9" t="s">
        <v>193</v>
      </c>
      <c r="J31" s="9">
        <v>71</v>
      </c>
      <c r="K31" s="9" t="s">
        <v>191</v>
      </c>
      <c r="L31" s="9" t="s">
        <v>191</v>
      </c>
      <c r="M31" s="9" t="s">
        <v>191</v>
      </c>
      <c r="N31" s="9">
        <v>71</v>
      </c>
      <c r="T31" s="15">
        <v>22</v>
      </c>
      <c r="U31" s="16" t="s">
        <v>23</v>
      </c>
      <c r="V31" s="21" t="s">
        <v>23</v>
      </c>
      <c r="W31">
        <f t="shared" si="0"/>
        <v>71</v>
      </c>
    </row>
    <row r="32" spans="4:23" ht="20" x14ac:dyDescent="0.25">
      <c r="D32" s="9"/>
      <c r="E32" s="9" t="s">
        <v>253</v>
      </c>
      <c r="F32" s="12" t="s">
        <v>197</v>
      </c>
      <c r="G32" s="9">
        <v>-1</v>
      </c>
      <c r="H32" s="9">
        <v>-1</v>
      </c>
      <c r="I32" s="9" t="s">
        <v>193</v>
      </c>
      <c r="J32" s="9">
        <v>71</v>
      </c>
      <c r="K32" s="9" t="s">
        <v>191</v>
      </c>
      <c r="L32" s="9" t="s">
        <v>191</v>
      </c>
      <c r="M32" s="9" t="s">
        <v>191</v>
      </c>
      <c r="N32" s="9">
        <v>71</v>
      </c>
      <c r="T32" s="15">
        <v>23</v>
      </c>
      <c r="U32" s="16" t="s">
        <v>42</v>
      </c>
      <c r="V32" s="21" t="s">
        <v>42</v>
      </c>
      <c r="W32">
        <f t="shared" si="0"/>
        <v>70</v>
      </c>
    </row>
    <row r="33" spans="4:23" ht="20" x14ac:dyDescent="0.25">
      <c r="D33" s="9"/>
      <c r="E33" s="9" t="s">
        <v>253</v>
      </c>
      <c r="F33" s="12" t="s">
        <v>208</v>
      </c>
      <c r="G33" s="9">
        <v>-1</v>
      </c>
      <c r="H33" s="9">
        <v>-1</v>
      </c>
      <c r="I33" s="9" t="s">
        <v>193</v>
      </c>
      <c r="J33" s="9">
        <v>71</v>
      </c>
      <c r="K33" s="9" t="s">
        <v>191</v>
      </c>
      <c r="L33" s="9" t="s">
        <v>191</v>
      </c>
      <c r="M33" s="9" t="s">
        <v>191</v>
      </c>
      <c r="N33" s="9">
        <v>71</v>
      </c>
      <c r="T33" s="15">
        <v>24</v>
      </c>
      <c r="U33" s="16" t="s">
        <v>38</v>
      </c>
      <c r="V33" s="21" t="s">
        <v>38</v>
      </c>
      <c r="W33">
        <f t="shared" si="0"/>
        <v>68</v>
      </c>
    </row>
    <row r="34" spans="4:23" ht="20" x14ac:dyDescent="0.25">
      <c r="D34" s="9"/>
      <c r="E34" s="9" t="s">
        <v>253</v>
      </c>
      <c r="F34" s="12" t="s">
        <v>32</v>
      </c>
      <c r="G34" s="9">
        <v>-1</v>
      </c>
      <c r="H34" s="9">
        <v>-1</v>
      </c>
      <c r="I34" s="9" t="s">
        <v>193</v>
      </c>
      <c r="J34" s="9">
        <v>71</v>
      </c>
      <c r="K34" s="9" t="s">
        <v>191</v>
      </c>
      <c r="L34" s="9" t="s">
        <v>191</v>
      </c>
      <c r="M34" s="9" t="s">
        <v>191</v>
      </c>
      <c r="N34" s="9">
        <v>71</v>
      </c>
      <c r="T34" s="15">
        <v>25</v>
      </c>
      <c r="U34" s="16" t="s">
        <v>22</v>
      </c>
      <c r="V34" s="21" t="s">
        <v>22</v>
      </c>
      <c r="W34">
        <f t="shared" si="0"/>
        <v>75</v>
      </c>
    </row>
    <row r="35" spans="4:23" ht="20" x14ac:dyDescent="0.25">
      <c r="D35" s="9"/>
      <c r="E35" s="9" t="s">
        <v>253</v>
      </c>
      <c r="F35" s="12" t="s">
        <v>54</v>
      </c>
      <c r="G35" s="9">
        <v>-1</v>
      </c>
      <c r="H35" s="9">
        <v>-1</v>
      </c>
      <c r="I35" s="9" t="s">
        <v>193</v>
      </c>
      <c r="J35" s="9">
        <v>71</v>
      </c>
      <c r="K35" s="9" t="s">
        <v>191</v>
      </c>
      <c r="L35" s="9" t="s">
        <v>191</v>
      </c>
      <c r="M35" s="9" t="s">
        <v>191</v>
      </c>
      <c r="N35" s="9">
        <v>71</v>
      </c>
      <c r="T35" s="15">
        <v>26</v>
      </c>
      <c r="U35" s="16" t="s">
        <v>50</v>
      </c>
      <c r="V35" s="21" t="s">
        <v>50</v>
      </c>
      <c r="W35">
        <f t="shared" si="0"/>
        <v>70</v>
      </c>
    </row>
    <row r="36" spans="4:23" ht="20" x14ac:dyDescent="0.25">
      <c r="D36" s="9"/>
      <c r="E36" s="9" t="s">
        <v>254</v>
      </c>
      <c r="F36" s="12" t="s">
        <v>24</v>
      </c>
      <c r="G36" s="9" t="s">
        <v>203</v>
      </c>
      <c r="H36" s="9" t="s">
        <v>203</v>
      </c>
      <c r="I36" s="9" t="s">
        <v>193</v>
      </c>
      <c r="J36" s="9">
        <v>72</v>
      </c>
      <c r="K36" s="9" t="s">
        <v>191</v>
      </c>
      <c r="L36" s="9" t="s">
        <v>191</v>
      </c>
      <c r="M36" s="9" t="s">
        <v>191</v>
      </c>
      <c r="N36" s="9">
        <v>72</v>
      </c>
      <c r="T36" s="15">
        <v>27</v>
      </c>
      <c r="U36" s="16" t="s">
        <v>210</v>
      </c>
      <c r="V36" s="21" t="s">
        <v>210</v>
      </c>
      <c r="W36">
        <f t="shared" si="0"/>
        <v>76</v>
      </c>
    </row>
    <row r="37" spans="4:23" ht="20" x14ac:dyDescent="0.25">
      <c r="D37" s="9"/>
      <c r="E37" s="9" t="s">
        <v>254</v>
      </c>
      <c r="F37" s="12" t="s">
        <v>180</v>
      </c>
      <c r="G37" s="9" t="s">
        <v>203</v>
      </c>
      <c r="H37" s="9" t="s">
        <v>203</v>
      </c>
      <c r="I37" s="9" t="s">
        <v>193</v>
      </c>
      <c r="J37" s="9">
        <v>72</v>
      </c>
      <c r="K37" s="9" t="s">
        <v>191</v>
      </c>
      <c r="L37" s="9" t="s">
        <v>191</v>
      </c>
      <c r="M37" s="9" t="s">
        <v>191</v>
      </c>
      <c r="N37" s="9">
        <v>72</v>
      </c>
      <c r="T37" s="15">
        <v>28</v>
      </c>
      <c r="U37" s="16" t="s">
        <v>94</v>
      </c>
      <c r="V37" s="21" t="s">
        <v>94</v>
      </c>
      <c r="W37">
        <f t="shared" si="0"/>
        <v>78</v>
      </c>
    </row>
    <row r="38" spans="4:23" ht="20" x14ac:dyDescent="0.25">
      <c r="D38" s="9"/>
      <c r="E38" s="9" t="s">
        <v>254</v>
      </c>
      <c r="F38" s="12" t="s">
        <v>97</v>
      </c>
      <c r="G38" s="9" t="s">
        <v>203</v>
      </c>
      <c r="H38" s="9" t="s">
        <v>203</v>
      </c>
      <c r="I38" s="9" t="s">
        <v>193</v>
      </c>
      <c r="J38" s="9">
        <v>72</v>
      </c>
      <c r="K38" s="9" t="s">
        <v>191</v>
      </c>
      <c r="L38" s="9" t="s">
        <v>191</v>
      </c>
      <c r="M38" s="9" t="s">
        <v>191</v>
      </c>
      <c r="N38" s="9">
        <v>72</v>
      </c>
      <c r="T38" s="15">
        <v>29</v>
      </c>
      <c r="U38" s="16" t="s">
        <v>226</v>
      </c>
      <c r="V38" s="21" t="s">
        <v>226</v>
      </c>
      <c r="W38">
        <f t="shared" si="0"/>
        <v>74</v>
      </c>
    </row>
    <row r="39" spans="4:23" ht="20" x14ac:dyDescent="0.25">
      <c r="D39" s="9"/>
      <c r="E39" s="9" t="s">
        <v>254</v>
      </c>
      <c r="F39" s="12" t="s">
        <v>34</v>
      </c>
      <c r="G39" s="9" t="s">
        <v>203</v>
      </c>
      <c r="H39" s="9" t="s">
        <v>203</v>
      </c>
      <c r="I39" s="9" t="s">
        <v>193</v>
      </c>
      <c r="J39" s="9">
        <v>72</v>
      </c>
      <c r="K39" s="9" t="s">
        <v>191</v>
      </c>
      <c r="L39" s="9" t="s">
        <v>191</v>
      </c>
      <c r="M39" s="9" t="s">
        <v>191</v>
      </c>
      <c r="N39" s="9">
        <v>72</v>
      </c>
      <c r="T39" s="15">
        <v>30</v>
      </c>
      <c r="U39" s="16" t="s">
        <v>30</v>
      </c>
      <c r="V39" s="21" t="s">
        <v>30</v>
      </c>
      <c r="W39">
        <f t="shared" si="0"/>
        <v>72</v>
      </c>
    </row>
    <row r="40" spans="4:23" ht="20" x14ac:dyDescent="0.25">
      <c r="D40" s="9"/>
      <c r="E40" s="9" t="s">
        <v>254</v>
      </c>
      <c r="F40" s="12" t="s">
        <v>204</v>
      </c>
      <c r="G40" s="9" t="s">
        <v>203</v>
      </c>
      <c r="H40" s="9" t="s">
        <v>203</v>
      </c>
      <c r="I40" s="9" t="s">
        <v>193</v>
      </c>
      <c r="J40" s="9">
        <v>72</v>
      </c>
      <c r="K40" s="9" t="s">
        <v>191</v>
      </c>
      <c r="L40" s="9" t="s">
        <v>191</v>
      </c>
      <c r="M40" s="9" t="s">
        <v>191</v>
      </c>
      <c r="N40" s="9">
        <v>72</v>
      </c>
      <c r="T40" s="15">
        <v>31</v>
      </c>
      <c r="U40" s="16" t="s">
        <v>29</v>
      </c>
      <c r="V40" s="21" t="s">
        <v>29</v>
      </c>
      <c r="W40">
        <f t="shared" si="0"/>
        <v>71</v>
      </c>
    </row>
    <row r="41" spans="4:23" ht="20" x14ac:dyDescent="0.25">
      <c r="D41" s="9"/>
      <c r="E41" s="9" t="s">
        <v>254</v>
      </c>
      <c r="F41" s="12" t="s">
        <v>170</v>
      </c>
      <c r="G41" s="9" t="s">
        <v>203</v>
      </c>
      <c r="H41" s="9" t="s">
        <v>203</v>
      </c>
      <c r="I41" s="9" t="s">
        <v>193</v>
      </c>
      <c r="J41" s="9">
        <v>72</v>
      </c>
      <c r="K41" s="9" t="s">
        <v>191</v>
      </c>
      <c r="L41" s="9" t="s">
        <v>191</v>
      </c>
      <c r="M41" s="9" t="s">
        <v>191</v>
      </c>
      <c r="N41" s="9">
        <v>72</v>
      </c>
      <c r="T41" s="15">
        <v>32</v>
      </c>
      <c r="U41" s="16" t="s">
        <v>28</v>
      </c>
      <c r="V41" s="21" t="s">
        <v>28</v>
      </c>
      <c r="W41">
        <f t="shared" si="0"/>
        <v>72</v>
      </c>
    </row>
    <row r="42" spans="4:23" ht="20" x14ac:dyDescent="0.25">
      <c r="D42" s="9"/>
      <c r="E42" s="9" t="s">
        <v>254</v>
      </c>
      <c r="F42" s="12" t="s">
        <v>179</v>
      </c>
      <c r="G42" s="9" t="s">
        <v>203</v>
      </c>
      <c r="H42" s="9" t="s">
        <v>203</v>
      </c>
      <c r="I42" s="9" t="s">
        <v>193</v>
      </c>
      <c r="J42" s="9">
        <v>72</v>
      </c>
      <c r="K42" s="9" t="s">
        <v>191</v>
      </c>
      <c r="L42" s="9" t="s">
        <v>191</v>
      </c>
      <c r="M42" s="9" t="s">
        <v>191</v>
      </c>
      <c r="N42" s="9">
        <v>72</v>
      </c>
      <c r="T42" s="15">
        <v>33</v>
      </c>
      <c r="U42" s="16" t="s">
        <v>16</v>
      </c>
      <c r="V42" s="21" t="s">
        <v>16</v>
      </c>
      <c r="W42">
        <f t="shared" si="0"/>
        <v>74</v>
      </c>
    </row>
    <row r="43" spans="4:23" ht="20" x14ac:dyDescent="0.25">
      <c r="D43" s="9"/>
      <c r="E43" s="9" t="s">
        <v>254</v>
      </c>
      <c r="F43" s="12" t="s">
        <v>176</v>
      </c>
      <c r="G43" s="9" t="s">
        <v>203</v>
      </c>
      <c r="H43" s="9" t="s">
        <v>203</v>
      </c>
      <c r="I43" s="9" t="s">
        <v>193</v>
      </c>
      <c r="J43" s="9">
        <v>72</v>
      </c>
      <c r="K43" s="9" t="s">
        <v>191</v>
      </c>
      <c r="L43" s="9" t="s">
        <v>191</v>
      </c>
      <c r="M43" s="9" t="s">
        <v>191</v>
      </c>
      <c r="N43" s="9">
        <v>72</v>
      </c>
      <c r="T43" s="15">
        <v>34</v>
      </c>
      <c r="U43" s="16" t="s">
        <v>213</v>
      </c>
      <c r="V43" s="21" t="s">
        <v>213</v>
      </c>
      <c r="W43">
        <f t="shared" si="0"/>
        <v>73</v>
      </c>
    </row>
    <row r="44" spans="4:23" ht="20" x14ac:dyDescent="0.25">
      <c r="D44" s="9"/>
      <c r="E44" s="9" t="s">
        <v>254</v>
      </c>
      <c r="F44" s="12" t="s">
        <v>30</v>
      </c>
      <c r="G44" s="9" t="s">
        <v>203</v>
      </c>
      <c r="H44" s="9" t="s">
        <v>203</v>
      </c>
      <c r="I44" s="9" t="s">
        <v>193</v>
      </c>
      <c r="J44" s="9">
        <v>72</v>
      </c>
      <c r="K44" s="9" t="s">
        <v>191</v>
      </c>
      <c r="L44" s="9" t="s">
        <v>191</v>
      </c>
      <c r="M44" s="9" t="s">
        <v>191</v>
      </c>
      <c r="N44" s="9">
        <v>72</v>
      </c>
      <c r="T44" s="15">
        <v>35</v>
      </c>
      <c r="U44" s="16" t="s">
        <v>51</v>
      </c>
      <c r="V44" s="21" t="s">
        <v>51</v>
      </c>
      <c r="W44">
        <f t="shared" si="0"/>
        <v>65</v>
      </c>
    </row>
    <row r="45" spans="4:23" ht="20" x14ac:dyDescent="0.25">
      <c r="D45" s="9"/>
      <c r="E45" s="9" t="s">
        <v>254</v>
      </c>
      <c r="F45" s="12" t="s">
        <v>43</v>
      </c>
      <c r="G45" s="9" t="s">
        <v>203</v>
      </c>
      <c r="H45" s="9" t="s">
        <v>203</v>
      </c>
      <c r="I45" s="9" t="s">
        <v>193</v>
      </c>
      <c r="J45" s="9">
        <v>72</v>
      </c>
      <c r="K45" s="9" t="s">
        <v>191</v>
      </c>
      <c r="L45" s="9" t="s">
        <v>191</v>
      </c>
      <c r="M45" s="9" t="s">
        <v>191</v>
      </c>
      <c r="N45" s="9">
        <v>72</v>
      </c>
      <c r="T45" s="15">
        <v>36</v>
      </c>
      <c r="U45" s="16" t="s">
        <v>208</v>
      </c>
      <c r="V45" s="21" t="s">
        <v>208</v>
      </c>
      <c r="W45">
        <f t="shared" si="0"/>
        <v>71</v>
      </c>
    </row>
    <row r="46" spans="4:23" ht="20" x14ac:dyDescent="0.25">
      <c r="D46" s="9"/>
      <c r="E46" s="9" t="s">
        <v>254</v>
      </c>
      <c r="F46" s="12" t="s">
        <v>28</v>
      </c>
      <c r="G46" s="9" t="s">
        <v>203</v>
      </c>
      <c r="H46" s="9" t="s">
        <v>203</v>
      </c>
      <c r="I46" s="9">
        <v>17</v>
      </c>
      <c r="J46" s="9">
        <v>72</v>
      </c>
      <c r="K46" s="9" t="s">
        <v>191</v>
      </c>
      <c r="L46" s="9" t="s">
        <v>191</v>
      </c>
      <c r="M46" s="9" t="s">
        <v>191</v>
      </c>
      <c r="N46" s="9">
        <v>68</v>
      </c>
      <c r="T46" s="15">
        <v>37</v>
      </c>
      <c r="U46" s="16" t="s">
        <v>166</v>
      </c>
      <c r="V46" s="21" t="s">
        <v>166</v>
      </c>
      <c r="W46">
        <f t="shared" si="0"/>
        <v>71</v>
      </c>
    </row>
    <row r="47" spans="4:23" ht="20" x14ac:dyDescent="0.25">
      <c r="D47" s="9"/>
      <c r="E47" s="9" t="s">
        <v>255</v>
      </c>
      <c r="F47" s="12" t="s">
        <v>211</v>
      </c>
      <c r="G47" s="9">
        <v>1</v>
      </c>
      <c r="H47" s="9">
        <v>1</v>
      </c>
      <c r="I47" s="9" t="s">
        <v>193</v>
      </c>
      <c r="J47" s="9">
        <v>73</v>
      </c>
      <c r="K47" s="9" t="s">
        <v>191</v>
      </c>
      <c r="L47" s="9" t="s">
        <v>191</v>
      </c>
      <c r="M47" s="9" t="s">
        <v>191</v>
      </c>
      <c r="N47" s="9">
        <v>73</v>
      </c>
      <c r="T47" s="15">
        <v>38</v>
      </c>
      <c r="U47" s="16" t="s">
        <v>55</v>
      </c>
      <c r="V47" s="21" t="s">
        <v>55</v>
      </c>
      <c r="W47">
        <f t="shared" si="0"/>
        <v>71</v>
      </c>
    </row>
    <row r="48" spans="4:23" ht="20" x14ac:dyDescent="0.25">
      <c r="D48" s="9"/>
      <c r="E48" s="9" t="s">
        <v>255</v>
      </c>
      <c r="F48" s="12" t="s">
        <v>212</v>
      </c>
      <c r="G48" s="9">
        <v>1</v>
      </c>
      <c r="H48" s="9">
        <v>1</v>
      </c>
      <c r="I48" s="9" t="s">
        <v>193</v>
      </c>
      <c r="J48" s="9">
        <v>73</v>
      </c>
      <c r="K48" s="9" t="s">
        <v>191</v>
      </c>
      <c r="L48" s="9" t="s">
        <v>191</v>
      </c>
      <c r="M48" s="9" t="s">
        <v>191</v>
      </c>
      <c r="N48" s="9">
        <v>73</v>
      </c>
      <c r="T48" s="15">
        <v>39</v>
      </c>
      <c r="U48" s="16" t="s">
        <v>197</v>
      </c>
      <c r="V48" s="21" t="s">
        <v>197</v>
      </c>
      <c r="W48">
        <f t="shared" si="0"/>
        <v>71</v>
      </c>
    </row>
    <row r="49" spans="4:23" ht="20" x14ac:dyDescent="0.25">
      <c r="D49" s="9"/>
      <c r="E49" s="9" t="s">
        <v>255</v>
      </c>
      <c r="F49" s="12" t="s">
        <v>33</v>
      </c>
      <c r="G49" s="9">
        <v>1</v>
      </c>
      <c r="H49" s="9">
        <v>1</v>
      </c>
      <c r="I49" s="9" t="s">
        <v>193</v>
      </c>
      <c r="J49" s="9">
        <v>73</v>
      </c>
      <c r="K49" s="9" t="s">
        <v>191</v>
      </c>
      <c r="L49" s="9" t="s">
        <v>191</v>
      </c>
      <c r="M49" s="9" t="s">
        <v>191</v>
      </c>
      <c r="N49" s="9">
        <v>73</v>
      </c>
      <c r="T49" s="15">
        <v>40</v>
      </c>
      <c r="U49" s="16" t="s">
        <v>61</v>
      </c>
      <c r="V49" s="21" t="s">
        <v>61</v>
      </c>
      <c r="W49">
        <f t="shared" si="0"/>
        <v>77</v>
      </c>
    </row>
    <row r="50" spans="4:23" ht="20" x14ac:dyDescent="0.25">
      <c r="D50" s="9"/>
      <c r="E50" s="9" t="s">
        <v>255</v>
      </c>
      <c r="F50" s="12" t="s">
        <v>74</v>
      </c>
      <c r="G50" s="9">
        <v>1</v>
      </c>
      <c r="H50" s="9">
        <v>1</v>
      </c>
      <c r="I50" s="9" t="s">
        <v>193</v>
      </c>
      <c r="J50" s="9">
        <v>73</v>
      </c>
      <c r="K50" s="9" t="s">
        <v>191</v>
      </c>
      <c r="L50" s="9" t="s">
        <v>191</v>
      </c>
      <c r="M50" s="9" t="s">
        <v>191</v>
      </c>
      <c r="N50" s="9">
        <v>73</v>
      </c>
      <c r="T50" s="15">
        <v>41</v>
      </c>
      <c r="U50" s="16" t="s">
        <v>167</v>
      </c>
      <c r="V50" s="21" t="s">
        <v>220</v>
      </c>
      <c r="W50">
        <f t="shared" si="0"/>
        <v>74</v>
      </c>
    </row>
    <row r="51" spans="4:23" ht="20" x14ac:dyDescent="0.25">
      <c r="D51" s="9"/>
      <c r="E51" s="9" t="s">
        <v>255</v>
      </c>
      <c r="F51" s="12" t="s">
        <v>213</v>
      </c>
      <c r="G51" s="9">
        <v>1</v>
      </c>
      <c r="H51" s="9">
        <v>1</v>
      </c>
      <c r="I51" s="9" t="s">
        <v>193</v>
      </c>
      <c r="J51" s="9">
        <v>73</v>
      </c>
      <c r="K51" s="9" t="s">
        <v>191</v>
      </c>
      <c r="L51" s="9" t="s">
        <v>191</v>
      </c>
      <c r="M51" s="9" t="s">
        <v>191</v>
      </c>
      <c r="N51" s="9">
        <v>73</v>
      </c>
      <c r="T51" s="15">
        <v>42</v>
      </c>
      <c r="U51" s="16" t="s">
        <v>216</v>
      </c>
      <c r="V51" s="21" t="s">
        <v>216</v>
      </c>
      <c r="W51">
        <f t="shared" si="0"/>
        <v>73</v>
      </c>
    </row>
    <row r="52" spans="4:23" ht="20" x14ac:dyDescent="0.25">
      <c r="D52" s="9"/>
      <c r="E52" s="9" t="s">
        <v>255</v>
      </c>
      <c r="F52" s="12" t="s">
        <v>206</v>
      </c>
      <c r="G52" s="9">
        <v>1</v>
      </c>
      <c r="H52" s="9">
        <v>1</v>
      </c>
      <c r="I52" s="9" t="s">
        <v>193</v>
      </c>
      <c r="J52" s="9">
        <v>73</v>
      </c>
      <c r="K52" s="9" t="s">
        <v>191</v>
      </c>
      <c r="L52" s="9" t="s">
        <v>191</v>
      </c>
      <c r="M52" s="9" t="s">
        <v>191</v>
      </c>
      <c r="N52" s="9">
        <v>73</v>
      </c>
      <c r="T52" s="15">
        <v>43</v>
      </c>
      <c r="U52" s="16" t="s">
        <v>199</v>
      </c>
      <c r="V52" s="21" t="s">
        <v>199</v>
      </c>
      <c r="W52">
        <f t="shared" si="0"/>
        <v>71</v>
      </c>
    </row>
    <row r="53" spans="4:23" ht="20" x14ac:dyDescent="0.25">
      <c r="D53" s="9"/>
      <c r="E53" s="9" t="s">
        <v>255</v>
      </c>
      <c r="F53" s="12" t="s">
        <v>219</v>
      </c>
      <c r="G53" s="9">
        <v>1</v>
      </c>
      <c r="H53" s="9">
        <v>1</v>
      </c>
      <c r="I53" s="9" t="s">
        <v>193</v>
      </c>
      <c r="J53" s="9">
        <v>73</v>
      </c>
      <c r="K53" s="9" t="s">
        <v>191</v>
      </c>
      <c r="L53" s="9" t="s">
        <v>191</v>
      </c>
      <c r="M53" s="9" t="s">
        <v>191</v>
      </c>
      <c r="N53" s="9">
        <v>73</v>
      </c>
      <c r="T53" s="15">
        <v>44</v>
      </c>
      <c r="U53" s="16" t="s">
        <v>64</v>
      </c>
      <c r="V53" s="21" t="s">
        <v>64</v>
      </c>
      <c r="W53">
        <f t="shared" si="0"/>
        <v>75</v>
      </c>
    </row>
    <row r="54" spans="4:23" ht="20" x14ac:dyDescent="0.25">
      <c r="D54" s="9"/>
      <c r="E54" s="9" t="s">
        <v>255</v>
      </c>
      <c r="F54" s="12" t="s">
        <v>31</v>
      </c>
      <c r="G54" s="9">
        <v>1</v>
      </c>
      <c r="H54" s="9">
        <v>1</v>
      </c>
      <c r="I54" s="9" t="s">
        <v>193</v>
      </c>
      <c r="J54" s="9">
        <v>73</v>
      </c>
      <c r="K54" s="9" t="s">
        <v>191</v>
      </c>
      <c r="L54" s="9" t="s">
        <v>191</v>
      </c>
      <c r="M54" s="9" t="s">
        <v>191</v>
      </c>
      <c r="N54" s="9">
        <v>73</v>
      </c>
      <c r="T54" s="15">
        <v>45</v>
      </c>
      <c r="U54" s="16" t="s">
        <v>168</v>
      </c>
      <c r="V54" s="21" t="s">
        <v>168</v>
      </c>
      <c r="W54">
        <f t="shared" si="0"/>
        <v>77</v>
      </c>
    </row>
    <row r="55" spans="4:23" ht="20" x14ac:dyDescent="0.25">
      <c r="D55" s="9"/>
      <c r="E55" s="9" t="s">
        <v>255</v>
      </c>
      <c r="F55" s="12" t="s">
        <v>202</v>
      </c>
      <c r="G55" s="9">
        <v>1</v>
      </c>
      <c r="H55" s="9">
        <v>1</v>
      </c>
      <c r="I55" s="9" t="s">
        <v>193</v>
      </c>
      <c r="J55" s="9">
        <v>73</v>
      </c>
      <c r="K55" s="9" t="s">
        <v>191</v>
      </c>
      <c r="L55" s="9" t="s">
        <v>191</v>
      </c>
      <c r="M55" s="9" t="s">
        <v>191</v>
      </c>
      <c r="N55" s="9">
        <v>73</v>
      </c>
      <c r="T55" s="15">
        <v>46</v>
      </c>
      <c r="U55" s="16" t="s">
        <v>234</v>
      </c>
      <c r="V55" s="21" t="s">
        <v>234</v>
      </c>
      <c r="W55">
        <f t="shared" si="0"/>
        <v>77</v>
      </c>
    </row>
    <row r="56" spans="4:23" ht="20" x14ac:dyDescent="0.25">
      <c r="D56" s="9"/>
      <c r="E56" s="9" t="s">
        <v>255</v>
      </c>
      <c r="F56" s="12" t="s">
        <v>27</v>
      </c>
      <c r="G56" s="9">
        <v>1</v>
      </c>
      <c r="H56" s="9">
        <v>1</v>
      </c>
      <c r="I56" s="9" t="s">
        <v>193</v>
      </c>
      <c r="J56" s="9">
        <v>73</v>
      </c>
      <c r="K56" s="9" t="s">
        <v>191</v>
      </c>
      <c r="L56" s="9" t="s">
        <v>191</v>
      </c>
      <c r="M56" s="9" t="s">
        <v>191</v>
      </c>
      <c r="N56" s="9">
        <v>73</v>
      </c>
      <c r="T56" s="15">
        <v>47</v>
      </c>
      <c r="U56" s="16" t="s">
        <v>169</v>
      </c>
      <c r="V56" s="21" t="s">
        <v>169</v>
      </c>
      <c r="W56">
        <f t="shared" si="0"/>
        <v>74</v>
      </c>
    </row>
    <row r="57" spans="4:23" ht="20" x14ac:dyDescent="0.25">
      <c r="D57" s="9"/>
      <c r="E57" s="9" t="s">
        <v>255</v>
      </c>
      <c r="F57" s="12" t="s">
        <v>37</v>
      </c>
      <c r="G57" s="9">
        <v>1</v>
      </c>
      <c r="H57" s="9">
        <v>1</v>
      </c>
      <c r="I57" s="9" t="s">
        <v>193</v>
      </c>
      <c r="J57" s="9">
        <v>73</v>
      </c>
      <c r="K57" s="9" t="s">
        <v>191</v>
      </c>
      <c r="L57" s="9" t="s">
        <v>191</v>
      </c>
      <c r="M57" s="9" t="s">
        <v>191</v>
      </c>
      <c r="N57" s="9">
        <v>73</v>
      </c>
      <c r="T57" s="15">
        <v>48</v>
      </c>
      <c r="U57" s="16" t="s">
        <v>195</v>
      </c>
      <c r="V57" s="21" t="s">
        <v>195</v>
      </c>
      <c r="W57">
        <f t="shared" si="0"/>
        <v>70</v>
      </c>
    </row>
    <row r="58" spans="4:23" ht="20" x14ac:dyDescent="0.25">
      <c r="D58" s="9"/>
      <c r="E58" s="9" t="s">
        <v>255</v>
      </c>
      <c r="F58" s="12" t="s">
        <v>58</v>
      </c>
      <c r="G58" s="9">
        <v>1</v>
      </c>
      <c r="H58" s="9">
        <v>1</v>
      </c>
      <c r="I58" s="9" t="s">
        <v>193</v>
      </c>
      <c r="J58" s="9">
        <v>73</v>
      </c>
      <c r="K58" s="9" t="s">
        <v>191</v>
      </c>
      <c r="L58" s="9" t="s">
        <v>191</v>
      </c>
      <c r="M58" s="9" t="s">
        <v>191</v>
      </c>
      <c r="N58" s="9">
        <v>73</v>
      </c>
      <c r="T58" s="15">
        <v>49</v>
      </c>
      <c r="U58" s="16" t="s">
        <v>196</v>
      </c>
      <c r="V58" s="21" t="s">
        <v>196</v>
      </c>
      <c r="W58">
        <f t="shared" si="0"/>
        <v>71</v>
      </c>
    </row>
    <row r="59" spans="4:23" ht="20" x14ac:dyDescent="0.25">
      <c r="D59" s="9"/>
      <c r="E59" s="9" t="s">
        <v>255</v>
      </c>
      <c r="F59" s="12" t="s">
        <v>216</v>
      </c>
      <c r="G59" s="9">
        <v>1</v>
      </c>
      <c r="H59" s="9">
        <v>1</v>
      </c>
      <c r="I59" s="9">
        <v>17</v>
      </c>
      <c r="J59" s="9">
        <v>73</v>
      </c>
      <c r="K59" s="9" t="s">
        <v>191</v>
      </c>
      <c r="L59" s="9" t="s">
        <v>191</v>
      </c>
      <c r="M59" s="9" t="s">
        <v>191</v>
      </c>
      <c r="N59" s="9">
        <v>69</v>
      </c>
      <c r="T59" s="15">
        <v>50</v>
      </c>
      <c r="U59" s="16" t="s">
        <v>170</v>
      </c>
      <c r="V59" s="21" t="s">
        <v>170</v>
      </c>
      <c r="W59">
        <f t="shared" si="0"/>
        <v>72</v>
      </c>
    </row>
    <row r="60" spans="4:23" ht="20" x14ac:dyDescent="0.25">
      <c r="D60" s="9"/>
      <c r="E60" s="9" t="s">
        <v>256</v>
      </c>
      <c r="F60" s="12" t="s">
        <v>217</v>
      </c>
      <c r="G60" s="9">
        <v>2</v>
      </c>
      <c r="H60" s="9">
        <v>2</v>
      </c>
      <c r="I60" s="9" t="s">
        <v>193</v>
      </c>
      <c r="J60" s="9">
        <v>74</v>
      </c>
      <c r="K60" s="9" t="s">
        <v>191</v>
      </c>
      <c r="L60" s="9" t="s">
        <v>191</v>
      </c>
      <c r="M60" s="9" t="s">
        <v>191</v>
      </c>
      <c r="N60" s="9">
        <v>74</v>
      </c>
      <c r="T60" s="15">
        <v>51</v>
      </c>
      <c r="U60" s="16" t="s">
        <v>171</v>
      </c>
      <c r="V60" s="21" t="s">
        <v>171</v>
      </c>
      <c r="W60">
        <f t="shared" si="0"/>
        <v>78</v>
      </c>
    </row>
    <row r="61" spans="4:23" ht="20" x14ac:dyDescent="0.25">
      <c r="D61" s="9"/>
      <c r="E61" s="9" t="s">
        <v>256</v>
      </c>
      <c r="F61" s="12" t="s">
        <v>21</v>
      </c>
      <c r="G61" s="9">
        <v>2</v>
      </c>
      <c r="H61" s="9">
        <v>2</v>
      </c>
      <c r="I61" s="9" t="s">
        <v>193</v>
      </c>
      <c r="J61" s="9">
        <v>74</v>
      </c>
      <c r="K61" s="9" t="s">
        <v>191</v>
      </c>
      <c r="L61" s="9" t="s">
        <v>191</v>
      </c>
      <c r="M61" s="9" t="s">
        <v>191</v>
      </c>
      <c r="N61" s="9">
        <v>74</v>
      </c>
      <c r="T61" s="15">
        <v>52</v>
      </c>
      <c r="U61" s="16" t="s">
        <v>236</v>
      </c>
      <c r="V61" s="21" t="s">
        <v>236</v>
      </c>
      <c r="W61">
        <f t="shared" si="0"/>
        <v>79</v>
      </c>
    </row>
    <row r="62" spans="4:23" ht="20" x14ac:dyDescent="0.25">
      <c r="D62" s="9"/>
      <c r="E62" s="9" t="s">
        <v>256</v>
      </c>
      <c r="F62" s="12" t="s">
        <v>218</v>
      </c>
      <c r="G62" s="9">
        <v>2</v>
      </c>
      <c r="H62" s="9">
        <v>2</v>
      </c>
      <c r="I62" s="9" t="s">
        <v>193</v>
      </c>
      <c r="J62" s="9">
        <v>74</v>
      </c>
      <c r="K62" s="9" t="s">
        <v>191</v>
      </c>
      <c r="L62" s="9" t="s">
        <v>191</v>
      </c>
      <c r="M62" s="9" t="s">
        <v>191</v>
      </c>
      <c r="N62" s="9">
        <v>74</v>
      </c>
      <c r="T62" s="15">
        <v>53</v>
      </c>
      <c r="U62" s="16" t="s">
        <v>198</v>
      </c>
      <c r="V62" s="21" t="s">
        <v>198</v>
      </c>
      <c r="W62">
        <f t="shared" si="0"/>
        <v>71</v>
      </c>
    </row>
    <row r="63" spans="4:23" ht="20" x14ac:dyDescent="0.25">
      <c r="D63" s="9"/>
      <c r="E63" s="9" t="s">
        <v>256</v>
      </c>
      <c r="F63" s="12" t="s">
        <v>169</v>
      </c>
      <c r="G63" s="9">
        <v>2</v>
      </c>
      <c r="H63" s="9">
        <v>2</v>
      </c>
      <c r="I63" s="9" t="s">
        <v>193</v>
      </c>
      <c r="J63" s="9">
        <v>74</v>
      </c>
      <c r="K63" s="9" t="s">
        <v>191</v>
      </c>
      <c r="L63" s="9" t="s">
        <v>191</v>
      </c>
      <c r="M63" s="9" t="s">
        <v>191</v>
      </c>
      <c r="N63" s="9">
        <v>74</v>
      </c>
      <c r="T63" s="15">
        <v>54</v>
      </c>
      <c r="U63" s="16" t="s">
        <v>24</v>
      </c>
      <c r="V63" s="21" t="s">
        <v>24</v>
      </c>
      <c r="W63">
        <f t="shared" si="0"/>
        <v>72</v>
      </c>
    </row>
    <row r="64" spans="4:23" ht="20" x14ac:dyDescent="0.25">
      <c r="D64" s="9"/>
      <c r="E64" s="9" t="s">
        <v>256</v>
      </c>
      <c r="F64" s="12" t="s">
        <v>16</v>
      </c>
      <c r="G64" s="9">
        <v>2</v>
      </c>
      <c r="H64" s="9">
        <v>2</v>
      </c>
      <c r="I64" s="9" t="s">
        <v>193</v>
      </c>
      <c r="J64" s="9">
        <v>74</v>
      </c>
      <c r="K64" s="9" t="s">
        <v>191</v>
      </c>
      <c r="L64" s="9" t="s">
        <v>191</v>
      </c>
      <c r="M64" s="9" t="s">
        <v>191</v>
      </c>
      <c r="N64" s="9">
        <v>74</v>
      </c>
      <c r="T64" s="15">
        <v>55</v>
      </c>
      <c r="U64" s="16" t="s">
        <v>172</v>
      </c>
      <c r="V64" s="21" t="s">
        <v>172</v>
      </c>
      <c r="W64">
        <f t="shared" si="0"/>
        <v>76</v>
      </c>
    </row>
    <row r="65" spans="4:23" ht="20" x14ac:dyDescent="0.25">
      <c r="D65" s="9"/>
      <c r="E65" s="9" t="s">
        <v>256</v>
      </c>
      <c r="F65" s="12" t="s">
        <v>214</v>
      </c>
      <c r="G65" s="9">
        <v>2</v>
      </c>
      <c r="H65" s="9">
        <v>2</v>
      </c>
      <c r="I65" s="9" t="s">
        <v>193</v>
      </c>
      <c r="J65" s="9">
        <v>74</v>
      </c>
      <c r="K65" s="9" t="s">
        <v>191</v>
      </c>
      <c r="L65" s="9" t="s">
        <v>191</v>
      </c>
      <c r="M65" s="9" t="s">
        <v>191</v>
      </c>
      <c r="N65" s="9">
        <v>74</v>
      </c>
      <c r="T65" s="15">
        <v>56</v>
      </c>
      <c r="U65" s="16" t="s">
        <v>202</v>
      </c>
      <c r="V65" s="21" t="s">
        <v>202</v>
      </c>
      <c r="W65">
        <f t="shared" si="0"/>
        <v>73</v>
      </c>
    </row>
    <row r="66" spans="4:23" ht="20" x14ac:dyDescent="0.25">
      <c r="D66" s="9"/>
      <c r="E66" s="9" t="s">
        <v>256</v>
      </c>
      <c r="F66" s="12" t="s">
        <v>207</v>
      </c>
      <c r="G66" s="9">
        <v>2</v>
      </c>
      <c r="H66" s="9">
        <v>2</v>
      </c>
      <c r="I66" s="9" t="s">
        <v>193</v>
      </c>
      <c r="J66" s="9">
        <v>74</v>
      </c>
      <c r="K66" s="9" t="s">
        <v>191</v>
      </c>
      <c r="L66" s="9" t="s">
        <v>191</v>
      </c>
      <c r="M66" s="9" t="s">
        <v>191</v>
      </c>
      <c r="N66" s="9">
        <v>74</v>
      </c>
      <c r="T66" s="15">
        <v>57</v>
      </c>
      <c r="U66" s="16" t="s">
        <v>218</v>
      </c>
      <c r="V66" s="21" t="s">
        <v>218</v>
      </c>
      <c r="W66">
        <f t="shared" si="0"/>
        <v>74</v>
      </c>
    </row>
    <row r="67" spans="4:23" ht="20" x14ac:dyDescent="0.25">
      <c r="D67" s="9"/>
      <c r="E67" s="9" t="s">
        <v>256</v>
      </c>
      <c r="F67" s="12" t="s">
        <v>25</v>
      </c>
      <c r="G67" s="9">
        <v>2</v>
      </c>
      <c r="H67" s="9">
        <v>2</v>
      </c>
      <c r="I67" s="9" t="s">
        <v>193</v>
      </c>
      <c r="J67" s="9">
        <v>74</v>
      </c>
      <c r="K67" s="9" t="s">
        <v>191</v>
      </c>
      <c r="L67" s="9" t="s">
        <v>191</v>
      </c>
      <c r="M67" s="9" t="s">
        <v>191</v>
      </c>
      <c r="N67" s="9">
        <v>74</v>
      </c>
      <c r="T67" s="15">
        <v>58</v>
      </c>
      <c r="U67" s="16" t="s">
        <v>173</v>
      </c>
      <c r="V67" s="21" t="s">
        <v>173</v>
      </c>
      <c r="W67">
        <f t="shared" si="0"/>
        <v>70</v>
      </c>
    </row>
    <row r="68" spans="4:23" ht="20" x14ac:dyDescent="0.25">
      <c r="D68" s="9"/>
      <c r="E68" s="9" t="s">
        <v>256</v>
      </c>
      <c r="F68" s="12" t="s">
        <v>220</v>
      </c>
      <c r="G68" s="9">
        <v>2</v>
      </c>
      <c r="H68" s="9">
        <v>2</v>
      </c>
      <c r="I68" s="9" t="s">
        <v>193</v>
      </c>
      <c r="J68" s="9">
        <v>74</v>
      </c>
      <c r="K68" s="9" t="s">
        <v>191</v>
      </c>
      <c r="L68" s="9" t="s">
        <v>191</v>
      </c>
      <c r="M68" s="9" t="s">
        <v>191</v>
      </c>
      <c r="N68" s="9">
        <v>74</v>
      </c>
      <c r="T68" s="15">
        <v>59</v>
      </c>
      <c r="U68" s="16" t="s">
        <v>174</v>
      </c>
      <c r="V68" s="21" t="s">
        <v>174</v>
      </c>
      <c r="W68">
        <f t="shared" si="0"/>
        <v>77</v>
      </c>
    </row>
    <row r="69" spans="4:23" ht="20" x14ac:dyDescent="0.25">
      <c r="D69" s="9"/>
      <c r="E69" s="9" t="s">
        <v>256</v>
      </c>
      <c r="F69" s="12" t="s">
        <v>226</v>
      </c>
      <c r="G69" s="9">
        <v>2</v>
      </c>
      <c r="H69" s="9">
        <v>2</v>
      </c>
      <c r="I69" s="9" t="s">
        <v>193</v>
      </c>
      <c r="J69" s="9">
        <v>74</v>
      </c>
      <c r="K69" s="9" t="s">
        <v>191</v>
      </c>
      <c r="L69" s="9" t="s">
        <v>191</v>
      </c>
      <c r="M69" s="9" t="s">
        <v>191</v>
      </c>
      <c r="N69" s="9">
        <v>74</v>
      </c>
      <c r="T69" s="15">
        <v>60</v>
      </c>
      <c r="U69" s="16" t="s">
        <v>25</v>
      </c>
      <c r="V69" s="21" t="s">
        <v>25</v>
      </c>
      <c r="W69">
        <f t="shared" si="0"/>
        <v>74</v>
      </c>
    </row>
    <row r="70" spans="4:23" ht="20" x14ac:dyDescent="0.25">
      <c r="D70" s="9"/>
      <c r="E70" s="9" t="s">
        <v>256</v>
      </c>
      <c r="F70" s="12" t="s">
        <v>44</v>
      </c>
      <c r="G70" s="9">
        <v>2</v>
      </c>
      <c r="H70" s="9">
        <v>2</v>
      </c>
      <c r="I70" s="9" t="s">
        <v>193</v>
      </c>
      <c r="J70" s="9">
        <v>74</v>
      </c>
      <c r="K70" s="9" t="s">
        <v>191</v>
      </c>
      <c r="L70" s="9" t="s">
        <v>191</v>
      </c>
      <c r="M70" s="9" t="s">
        <v>191</v>
      </c>
      <c r="N70" s="9">
        <v>74</v>
      </c>
      <c r="T70" s="15">
        <v>61</v>
      </c>
      <c r="U70" s="16" t="s">
        <v>97</v>
      </c>
      <c r="V70" s="21" t="s">
        <v>97</v>
      </c>
      <c r="W70">
        <f t="shared" si="0"/>
        <v>72</v>
      </c>
    </row>
    <row r="71" spans="4:23" ht="20" x14ac:dyDescent="0.25">
      <c r="D71" s="9"/>
      <c r="E71" s="9" t="s">
        <v>256</v>
      </c>
      <c r="F71" s="12" t="s">
        <v>20</v>
      </c>
      <c r="G71" s="9">
        <v>2</v>
      </c>
      <c r="H71" s="9">
        <v>2</v>
      </c>
      <c r="I71" s="9" t="s">
        <v>193</v>
      </c>
      <c r="J71" s="9">
        <v>74</v>
      </c>
      <c r="K71" s="9" t="s">
        <v>191</v>
      </c>
      <c r="L71" s="9" t="s">
        <v>191</v>
      </c>
      <c r="M71" s="9" t="s">
        <v>191</v>
      </c>
      <c r="N71" s="9">
        <v>74</v>
      </c>
      <c r="T71" s="15">
        <v>62</v>
      </c>
      <c r="U71" s="16" t="s">
        <v>31</v>
      </c>
      <c r="V71" s="21" t="s">
        <v>31</v>
      </c>
      <c r="W71">
        <f t="shared" si="0"/>
        <v>73</v>
      </c>
    </row>
    <row r="72" spans="4:23" ht="20" x14ac:dyDescent="0.25">
      <c r="D72" s="9"/>
      <c r="E72" s="9" t="s">
        <v>257</v>
      </c>
      <c r="F72" s="12" t="s">
        <v>177</v>
      </c>
      <c r="G72" s="9">
        <v>3</v>
      </c>
      <c r="H72" s="9">
        <v>3</v>
      </c>
      <c r="I72" s="9" t="s">
        <v>193</v>
      </c>
      <c r="J72" s="9">
        <v>75</v>
      </c>
      <c r="K72" s="9" t="s">
        <v>191</v>
      </c>
      <c r="L72" s="9" t="s">
        <v>191</v>
      </c>
      <c r="M72" s="9" t="s">
        <v>191</v>
      </c>
      <c r="N72" s="9">
        <v>75</v>
      </c>
      <c r="T72" s="15">
        <v>63</v>
      </c>
      <c r="U72" s="16" t="s">
        <v>212</v>
      </c>
      <c r="V72" s="21" t="s">
        <v>212</v>
      </c>
      <c r="W72">
        <f t="shared" si="0"/>
        <v>73</v>
      </c>
    </row>
    <row r="73" spans="4:23" ht="40" x14ac:dyDescent="0.25">
      <c r="D73" s="9"/>
      <c r="E73" s="9" t="s">
        <v>257</v>
      </c>
      <c r="F73" s="12" t="s">
        <v>221</v>
      </c>
      <c r="G73" s="9">
        <v>3</v>
      </c>
      <c r="H73" s="9">
        <v>3</v>
      </c>
      <c r="I73" s="9" t="s">
        <v>193</v>
      </c>
      <c r="J73" s="9">
        <v>75</v>
      </c>
      <c r="K73" s="9" t="s">
        <v>191</v>
      </c>
      <c r="L73" s="9" t="s">
        <v>191</v>
      </c>
      <c r="M73" s="9" t="s">
        <v>191</v>
      </c>
      <c r="N73" s="9">
        <v>75</v>
      </c>
      <c r="T73" s="15">
        <v>64</v>
      </c>
      <c r="U73" s="16" t="s">
        <v>232</v>
      </c>
      <c r="V73" s="21" t="s">
        <v>232</v>
      </c>
      <c r="W73">
        <f t="shared" si="0"/>
        <v>76</v>
      </c>
    </row>
    <row r="74" spans="4:23" ht="20" x14ac:dyDescent="0.25">
      <c r="D74" s="9"/>
      <c r="E74" s="9" t="s">
        <v>257</v>
      </c>
      <c r="F74" s="12" t="s">
        <v>222</v>
      </c>
      <c r="G74" s="9">
        <v>3</v>
      </c>
      <c r="H74" s="9">
        <v>3</v>
      </c>
      <c r="I74" s="9" t="s">
        <v>193</v>
      </c>
      <c r="J74" s="9">
        <v>75</v>
      </c>
      <c r="K74" s="9" t="s">
        <v>191</v>
      </c>
      <c r="L74" s="9" t="s">
        <v>191</v>
      </c>
      <c r="M74" s="9" t="s">
        <v>191</v>
      </c>
      <c r="N74" s="9">
        <v>75</v>
      </c>
      <c r="T74" s="15">
        <v>65</v>
      </c>
      <c r="U74" s="16" t="s">
        <v>228</v>
      </c>
      <c r="V74" s="21" t="s">
        <v>228</v>
      </c>
      <c r="W74">
        <f t="shared" si="0"/>
        <v>76</v>
      </c>
    </row>
    <row r="75" spans="4:23" ht="20" x14ac:dyDescent="0.25">
      <c r="D75" s="9"/>
      <c r="E75" s="9" t="s">
        <v>257</v>
      </c>
      <c r="F75" s="12" t="s">
        <v>223</v>
      </c>
      <c r="G75" s="9">
        <v>3</v>
      </c>
      <c r="H75" s="9">
        <v>3</v>
      </c>
      <c r="I75" s="9" t="s">
        <v>193</v>
      </c>
      <c r="J75" s="9">
        <v>75</v>
      </c>
      <c r="K75" s="9" t="s">
        <v>191</v>
      </c>
      <c r="L75" s="9" t="s">
        <v>191</v>
      </c>
      <c r="M75" s="9" t="s">
        <v>191</v>
      </c>
      <c r="N75" s="9">
        <v>75</v>
      </c>
      <c r="T75" s="15">
        <v>66</v>
      </c>
      <c r="U75" s="16" t="s">
        <v>207</v>
      </c>
      <c r="V75" s="21" t="s">
        <v>207</v>
      </c>
      <c r="W75">
        <f t="shared" ref="W75:W104" si="1">+VLOOKUP(V75,$F$10:$N$104,5,FALSE)</f>
        <v>74</v>
      </c>
    </row>
    <row r="76" spans="4:23" ht="20" x14ac:dyDescent="0.25">
      <c r="D76" s="9"/>
      <c r="E76" s="9" t="s">
        <v>257</v>
      </c>
      <c r="F76" s="12" t="s">
        <v>165</v>
      </c>
      <c r="G76" s="9">
        <v>3</v>
      </c>
      <c r="H76" s="9">
        <v>3</v>
      </c>
      <c r="I76" s="9" t="s">
        <v>193</v>
      </c>
      <c r="J76" s="9">
        <v>75</v>
      </c>
      <c r="K76" s="9" t="s">
        <v>191</v>
      </c>
      <c r="L76" s="9" t="s">
        <v>191</v>
      </c>
      <c r="M76" s="9" t="s">
        <v>191</v>
      </c>
      <c r="N76" s="9">
        <v>75</v>
      </c>
      <c r="T76" s="15">
        <v>67</v>
      </c>
      <c r="U76" s="16" t="s">
        <v>242</v>
      </c>
      <c r="V76" s="21" t="s">
        <v>214</v>
      </c>
      <c r="W76">
        <f t="shared" si="1"/>
        <v>74</v>
      </c>
    </row>
    <row r="77" spans="4:23" ht="20" x14ac:dyDescent="0.25">
      <c r="D77" s="9"/>
      <c r="E77" s="9" t="s">
        <v>257</v>
      </c>
      <c r="F77" s="12" t="s">
        <v>64</v>
      </c>
      <c r="G77" s="9">
        <v>3</v>
      </c>
      <c r="H77" s="9">
        <v>3</v>
      </c>
      <c r="I77" s="9" t="s">
        <v>193</v>
      </c>
      <c r="J77" s="9">
        <v>75</v>
      </c>
      <c r="K77" s="9" t="s">
        <v>191</v>
      </c>
      <c r="L77" s="9" t="s">
        <v>191</v>
      </c>
      <c r="M77" s="9" t="s">
        <v>191</v>
      </c>
      <c r="N77" s="9">
        <v>75</v>
      </c>
      <c r="T77" s="15">
        <v>68</v>
      </c>
      <c r="U77" s="16" t="s">
        <v>175</v>
      </c>
      <c r="V77" s="21" t="s">
        <v>175</v>
      </c>
      <c r="W77">
        <f t="shared" si="1"/>
        <v>71</v>
      </c>
    </row>
    <row r="78" spans="4:23" ht="20" x14ac:dyDescent="0.25">
      <c r="D78" s="9"/>
      <c r="E78" s="9" t="s">
        <v>257</v>
      </c>
      <c r="F78" s="12" t="s">
        <v>22</v>
      </c>
      <c r="G78" s="9">
        <v>3</v>
      </c>
      <c r="H78" s="9">
        <v>3</v>
      </c>
      <c r="I78" s="9" t="s">
        <v>193</v>
      </c>
      <c r="J78" s="9">
        <v>75</v>
      </c>
      <c r="K78" s="9" t="s">
        <v>191</v>
      </c>
      <c r="L78" s="9" t="s">
        <v>191</v>
      </c>
      <c r="M78" s="9" t="s">
        <v>191</v>
      </c>
      <c r="N78" s="9">
        <v>75</v>
      </c>
      <c r="T78" s="15">
        <v>69</v>
      </c>
      <c r="U78" s="16" t="s">
        <v>227</v>
      </c>
      <c r="V78" s="21" t="s">
        <v>227</v>
      </c>
      <c r="W78">
        <f t="shared" si="1"/>
        <v>76</v>
      </c>
    </row>
    <row r="79" spans="4:23" ht="20" x14ac:dyDescent="0.25">
      <c r="D79" s="9"/>
      <c r="E79" s="9" t="s">
        <v>257</v>
      </c>
      <c r="F79" s="12" t="s">
        <v>205</v>
      </c>
      <c r="G79" s="9">
        <v>3</v>
      </c>
      <c r="H79" s="9">
        <v>3</v>
      </c>
      <c r="I79" s="9" t="s">
        <v>193</v>
      </c>
      <c r="J79" s="9">
        <v>75</v>
      </c>
      <c r="K79" s="9" t="s">
        <v>191</v>
      </c>
      <c r="L79" s="9" t="s">
        <v>191</v>
      </c>
      <c r="M79" s="9" t="s">
        <v>191</v>
      </c>
      <c r="N79" s="9">
        <v>75</v>
      </c>
      <c r="T79" s="15">
        <v>70</v>
      </c>
      <c r="U79" s="16" t="s">
        <v>224</v>
      </c>
      <c r="V79" s="21" t="s">
        <v>224</v>
      </c>
      <c r="W79">
        <f t="shared" si="1"/>
        <v>76</v>
      </c>
    </row>
    <row r="80" spans="4:23" ht="20" x14ac:dyDescent="0.25">
      <c r="D80" s="9"/>
      <c r="E80" s="9" t="s">
        <v>257</v>
      </c>
      <c r="F80" s="12" t="s">
        <v>230</v>
      </c>
      <c r="G80" s="9">
        <v>3</v>
      </c>
      <c r="H80" s="9">
        <v>3</v>
      </c>
      <c r="I80" s="9" t="s">
        <v>193</v>
      </c>
      <c r="J80" s="9">
        <v>75</v>
      </c>
      <c r="K80" s="9" t="s">
        <v>191</v>
      </c>
      <c r="L80" s="9" t="s">
        <v>191</v>
      </c>
      <c r="M80" s="9" t="s">
        <v>191</v>
      </c>
      <c r="N80" s="9">
        <v>75</v>
      </c>
      <c r="T80" s="15">
        <v>71</v>
      </c>
      <c r="U80" s="16" t="s">
        <v>176</v>
      </c>
      <c r="V80" s="21" t="s">
        <v>176</v>
      </c>
      <c r="W80">
        <f t="shared" si="1"/>
        <v>72</v>
      </c>
    </row>
    <row r="81" spans="4:23" ht="20" x14ac:dyDescent="0.25">
      <c r="D81" s="9"/>
      <c r="E81" s="9" t="s">
        <v>257</v>
      </c>
      <c r="F81" s="12" t="s">
        <v>69</v>
      </c>
      <c r="G81" s="9">
        <v>3</v>
      </c>
      <c r="H81" s="9">
        <v>3</v>
      </c>
      <c r="I81" s="9" t="s">
        <v>193</v>
      </c>
      <c r="J81" s="9">
        <v>75</v>
      </c>
      <c r="K81" s="9" t="s">
        <v>191</v>
      </c>
      <c r="L81" s="9" t="s">
        <v>191</v>
      </c>
      <c r="M81" s="9" t="s">
        <v>191</v>
      </c>
      <c r="N81" s="9">
        <v>75</v>
      </c>
      <c r="T81" s="15">
        <v>72</v>
      </c>
      <c r="U81" s="16" t="s">
        <v>222</v>
      </c>
      <c r="V81" s="21" t="s">
        <v>222</v>
      </c>
      <c r="W81">
        <f t="shared" si="1"/>
        <v>75</v>
      </c>
    </row>
    <row r="82" spans="4:23" ht="20" x14ac:dyDescent="0.25">
      <c r="D82" s="9"/>
      <c r="E82" s="9" t="s">
        <v>258</v>
      </c>
      <c r="F82" s="12" t="s">
        <v>172</v>
      </c>
      <c r="G82" s="9">
        <v>4</v>
      </c>
      <c r="H82" s="9">
        <v>4</v>
      </c>
      <c r="I82" s="9" t="s">
        <v>193</v>
      </c>
      <c r="J82" s="9">
        <v>76</v>
      </c>
      <c r="K82" s="9" t="s">
        <v>191</v>
      </c>
      <c r="L82" s="9" t="s">
        <v>191</v>
      </c>
      <c r="M82" s="9" t="s">
        <v>191</v>
      </c>
      <c r="N82" s="9">
        <v>76</v>
      </c>
      <c r="T82" s="15">
        <v>73</v>
      </c>
      <c r="U82" s="16" t="s">
        <v>76</v>
      </c>
      <c r="V82" s="21" t="s">
        <v>76</v>
      </c>
      <c r="W82">
        <f t="shared" si="1"/>
        <v>90</v>
      </c>
    </row>
    <row r="83" spans="4:23" ht="20" x14ac:dyDescent="0.25">
      <c r="D83" s="9"/>
      <c r="E83" s="9" t="s">
        <v>258</v>
      </c>
      <c r="F83" s="12" t="s">
        <v>227</v>
      </c>
      <c r="G83" s="9">
        <v>4</v>
      </c>
      <c r="H83" s="9">
        <v>4</v>
      </c>
      <c r="I83" s="9" t="s">
        <v>193</v>
      </c>
      <c r="J83" s="9">
        <v>76</v>
      </c>
      <c r="K83" s="9" t="s">
        <v>191</v>
      </c>
      <c r="L83" s="9" t="s">
        <v>191</v>
      </c>
      <c r="M83" s="9" t="s">
        <v>191</v>
      </c>
      <c r="N83" s="9">
        <v>76</v>
      </c>
      <c r="T83" s="15">
        <v>74</v>
      </c>
      <c r="U83" s="16" t="s">
        <v>211</v>
      </c>
      <c r="V83" s="21" t="s">
        <v>211</v>
      </c>
      <c r="W83">
        <f t="shared" si="1"/>
        <v>73</v>
      </c>
    </row>
    <row r="84" spans="4:23" ht="20" x14ac:dyDescent="0.25">
      <c r="D84" s="9"/>
      <c r="E84" s="9" t="s">
        <v>258</v>
      </c>
      <c r="F84" s="12" t="s">
        <v>228</v>
      </c>
      <c r="G84" s="9">
        <v>4</v>
      </c>
      <c r="H84" s="9">
        <v>4</v>
      </c>
      <c r="I84" s="9" t="s">
        <v>193</v>
      </c>
      <c r="J84" s="9">
        <v>76</v>
      </c>
      <c r="K84" s="9" t="s">
        <v>191</v>
      </c>
      <c r="L84" s="9" t="s">
        <v>191</v>
      </c>
      <c r="M84" s="9" t="s">
        <v>191</v>
      </c>
      <c r="N84" s="9">
        <v>76</v>
      </c>
      <c r="T84" s="15">
        <v>75</v>
      </c>
      <c r="U84" s="16" t="s">
        <v>243</v>
      </c>
      <c r="V84" s="21" t="s">
        <v>243</v>
      </c>
      <c r="W84">
        <f t="shared" si="1"/>
        <v>71</v>
      </c>
    </row>
    <row r="85" spans="4:23" ht="20" x14ac:dyDescent="0.25">
      <c r="D85" s="9"/>
      <c r="E85" s="9" t="s">
        <v>258</v>
      </c>
      <c r="F85" s="12" t="s">
        <v>229</v>
      </c>
      <c r="G85" s="9">
        <v>4</v>
      </c>
      <c r="H85" s="9">
        <v>4</v>
      </c>
      <c r="I85" s="9" t="s">
        <v>193</v>
      </c>
      <c r="J85" s="9">
        <v>76</v>
      </c>
      <c r="K85" s="9" t="s">
        <v>191</v>
      </c>
      <c r="L85" s="9" t="s">
        <v>191</v>
      </c>
      <c r="M85" s="9" t="s">
        <v>191</v>
      </c>
      <c r="N85" s="9">
        <v>76</v>
      </c>
      <c r="T85" s="15">
        <v>76</v>
      </c>
      <c r="U85" s="16" t="s">
        <v>177</v>
      </c>
      <c r="V85" s="21" t="s">
        <v>177</v>
      </c>
      <c r="W85">
        <f t="shared" si="1"/>
        <v>75</v>
      </c>
    </row>
    <row r="86" spans="4:23" ht="20" x14ac:dyDescent="0.25">
      <c r="D86" s="9"/>
      <c r="E86" s="9" t="s">
        <v>258</v>
      </c>
      <c r="F86" s="12" t="s">
        <v>224</v>
      </c>
      <c r="G86" s="9">
        <v>4</v>
      </c>
      <c r="H86" s="9">
        <v>4</v>
      </c>
      <c r="I86" s="9" t="s">
        <v>193</v>
      </c>
      <c r="J86" s="9">
        <v>76</v>
      </c>
      <c r="K86" s="9" t="s">
        <v>191</v>
      </c>
      <c r="L86" s="9" t="s">
        <v>191</v>
      </c>
      <c r="M86" s="9" t="s">
        <v>191</v>
      </c>
      <c r="N86" s="9">
        <v>76</v>
      </c>
      <c r="T86" s="15">
        <v>77</v>
      </c>
      <c r="U86" s="16" t="s">
        <v>178</v>
      </c>
      <c r="V86" s="21" t="s">
        <v>178</v>
      </c>
      <c r="W86">
        <f t="shared" si="1"/>
        <v>78</v>
      </c>
    </row>
    <row r="87" spans="4:23" ht="20" x14ac:dyDescent="0.25">
      <c r="D87" s="9"/>
      <c r="E87" s="9" t="s">
        <v>258</v>
      </c>
      <c r="F87" s="12" t="s">
        <v>232</v>
      </c>
      <c r="G87" s="9">
        <v>4</v>
      </c>
      <c r="H87" s="9">
        <v>4</v>
      </c>
      <c r="I87" s="9" t="s">
        <v>193</v>
      </c>
      <c r="J87" s="9">
        <v>76</v>
      </c>
      <c r="K87" s="9" t="s">
        <v>191</v>
      </c>
      <c r="L87" s="9" t="s">
        <v>191</v>
      </c>
      <c r="M87" s="9" t="s">
        <v>191</v>
      </c>
      <c r="N87" s="9">
        <v>76</v>
      </c>
      <c r="T87" s="15">
        <v>78</v>
      </c>
      <c r="U87" s="16" t="s">
        <v>88</v>
      </c>
      <c r="V87" s="21" t="s">
        <v>88</v>
      </c>
      <c r="W87">
        <f t="shared" si="1"/>
        <v>71</v>
      </c>
    </row>
    <row r="88" spans="4:23" ht="20" x14ac:dyDescent="0.25">
      <c r="D88" s="9"/>
      <c r="E88" s="9" t="s">
        <v>258</v>
      </c>
      <c r="F88" s="12" t="s">
        <v>215</v>
      </c>
      <c r="G88" s="9">
        <v>4</v>
      </c>
      <c r="H88" s="9">
        <v>4</v>
      </c>
      <c r="I88" s="9" t="s">
        <v>193</v>
      </c>
      <c r="J88" s="9">
        <v>76</v>
      </c>
      <c r="K88" s="9" t="s">
        <v>191</v>
      </c>
      <c r="L88" s="9" t="s">
        <v>191</v>
      </c>
      <c r="M88" s="9" t="s">
        <v>191</v>
      </c>
      <c r="N88" s="9">
        <v>76</v>
      </c>
      <c r="T88" s="15">
        <v>79</v>
      </c>
      <c r="U88" s="16" t="s">
        <v>206</v>
      </c>
      <c r="V88" s="21" t="s">
        <v>206</v>
      </c>
      <c r="W88">
        <f t="shared" si="1"/>
        <v>73</v>
      </c>
    </row>
    <row r="89" spans="4:23" ht="20" x14ac:dyDescent="0.25">
      <c r="D89" s="9"/>
      <c r="E89" s="9" t="s">
        <v>258</v>
      </c>
      <c r="F89" s="12" t="s">
        <v>210</v>
      </c>
      <c r="G89" s="9">
        <v>4</v>
      </c>
      <c r="H89" s="9">
        <v>4</v>
      </c>
      <c r="I89" s="9" t="s">
        <v>193</v>
      </c>
      <c r="J89" s="9">
        <v>76</v>
      </c>
      <c r="K89" s="9" t="s">
        <v>191</v>
      </c>
      <c r="L89" s="9" t="s">
        <v>191</v>
      </c>
      <c r="M89" s="9" t="s">
        <v>191</v>
      </c>
      <c r="N89" s="9">
        <v>76</v>
      </c>
      <c r="T89" s="15">
        <v>80</v>
      </c>
      <c r="U89" s="16" t="s">
        <v>239</v>
      </c>
      <c r="V89" s="21" t="s">
        <v>239</v>
      </c>
      <c r="W89">
        <f t="shared" si="1"/>
        <v>79</v>
      </c>
    </row>
    <row r="90" spans="4:23" ht="20" x14ac:dyDescent="0.25">
      <c r="D90" s="9"/>
      <c r="E90" s="9" t="s">
        <v>259</v>
      </c>
      <c r="F90" s="12" t="s">
        <v>234</v>
      </c>
      <c r="G90" s="9">
        <v>5</v>
      </c>
      <c r="H90" s="9">
        <v>5</v>
      </c>
      <c r="I90" s="9" t="s">
        <v>193</v>
      </c>
      <c r="J90" s="9">
        <v>77</v>
      </c>
      <c r="K90" s="9" t="s">
        <v>191</v>
      </c>
      <c r="L90" s="9" t="s">
        <v>191</v>
      </c>
      <c r="M90" s="9" t="s">
        <v>191</v>
      </c>
      <c r="N90" s="9">
        <v>77</v>
      </c>
      <c r="T90" s="15">
        <v>81</v>
      </c>
      <c r="U90" s="16" t="s">
        <v>223</v>
      </c>
      <c r="V90" s="21" t="s">
        <v>223</v>
      </c>
      <c r="W90">
        <f t="shared" si="1"/>
        <v>75</v>
      </c>
    </row>
    <row r="91" spans="4:23" ht="20" x14ac:dyDescent="0.25">
      <c r="D91" s="9"/>
      <c r="E91" s="9" t="s">
        <v>259</v>
      </c>
      <c r="F91" s="12" t="s">
        <v>168</v>
      </c>
      <c r="G91" s="9">
        <v>5</v>
      </c>
      <c r="H91" s="9">
        <v>5</v>
      </c>
      <c r="I91" s="9" t="s">
        <v>193</v>
      </c>
      <c r="J91" s="9">
        <v>77</v>
      </c>
      <c r="K91" s="9" t="s">
        <v>191</v>
      </c>
      <c r="L91" s="9" t="s">
        <v>191</v>
      </c>
      <c r="M91" s="9" t="s">
        <v>191</v>
      </c>
      <c r="N91" s="9">
        <v>77</v>
      </c>
      <c r="T91" s="15">
        <v>82</v>
      </c>
      <c r="U91" s="16" t="s">
        <v>179</v>
      </c>
      <c r="V91" s="21" t="s">
        <v>179</v>
      </c>
      <c r="W91">
        <f t="shared" si="1"/>
        <v>72</v>
      </c>
    </row>
    <row r="92" spans="4:23" ht="20" x14ac:dyDescent="0.25">
      <c r="D92" s="9"/>
      <c r="E92" s="9" t="s">
        <v>259</v>
      </c>
      <c r="F92" s="12" t="s">
        <v>174</v>
      </c>
      <c r="G92" s="9">
        <v>5</v>
      </c>
      <c r="H92" s="9">
        <v>5</v>
      </c>
      <c r="I92" s="9" t="s">
        <v>193</v>
      </c>
      <c r="J92" s="9">
        <v>77</v>
      </c>
      <c r="K92" s="9" t="s">
        <v>191</v>
      </c>
      <c r="L92" s="9" t="s">
        <v>191</v>
      </c>
      <c r="M92" s="9" t="s">
        <v>191</v>
      </c>
      <c r="N92" s="9">
        <v>77</v>
      </c>
      <c r="T92" s="15">
        <v>83</v>
      </c>
      <c r="U92" s="16" t="s">
        <v>244</v>
      </c>
      <c r="V92" s="21" t="s">
        <v>230</v>
      </c>
      <c r="W92">
        <f t="shared" si="1"/>
        <v>75</v>
      </c>
    </row>
    <row r="93" spans="4:23" ht="20" x14ac:dyDescent="0.25">
      <c r="D93" s="9"/>
      <c r="E93" s="9" t="s">
        <v>259</v>
      </c>
      <c r="F93" s="12" t="s">
        <v>231</v>
      </c>
      <c r="G93" s="9">
        <v>5</v>
      </c>
      <c r="H93" s="9">
        <v>5</v>
      </c>
      <c r="I93" s="9" t="s">
        <v>193</v>
      </c>
      <c r="J93" s="9">
        <v>77</v>
      </c>
      <c r="K93" s="9" t="s">
        <v>191</v>
      </c>
      <c r="L93" s="9" t="s">
        <v>191</v>
      </c>
      <c r="M93" s="9" t="s">
        <v>191</v>
      </c>
      <c r="N93" s="9">
        <v>77</v>
      </c>
      <c r="T93" s="15">
        <v>84</v>
      </c>
      <c r="U93" s="16" t="s">
        <v>245</v>
      </c>
      <c r="V93" s="21" t="s">
        <v>225</v>
      </c>
      <c r="W93">
        <f t="shared" si="1"/>
        <v>77</v>
      </c>
    </row>
    <row r="94" spans="4:23" ht="20" x14ac:dyDescent="0.25">
      <c r="D94" s="9"/>
      <c r="E94" s="9" t="s">
        <v>259</v>
      </c>
      <c r="F94" s="12" t="s">
        <v>225</v>
      </c>
      <c r="G94" s="9">
        <v>5</v>
      </c>
      <c r="H94" s="9">
        <v>5</v>
      </c>
      <c r="I94" s="9" t="s">
        <v>193</v>
      </c>
      <c r="J94" s="9">
        <v>77</v>
      </c>
      <c r="K94" s="9" t="s">
        <v>191</v>
      </c>
      <c r="L94" s="9" t="s">
        <v>191</v>
      </c>
      <c r="M94" s="9" t="s">
        <v>191</v>
      </c>
      <c r="N94" s="9">
        <v>77</v>
      </c>
      <c r="T94" s="15">
        <v>85</v>
      </c>
      <c r="U94" s="16" t="s">
        <v>205</v>
      </c>
      <c r="V94" s="21" t="s">
        <v>205</v>
      </c>
      <c r="W94">
        <f t="shared" si="1"/>
        <v>75</v>
      </c>
    </row>
    <row r="95" spans="4:23" ht="20" x14ac:dyDescent="0.25">
      <c r="D95" s="9"/>
      <c r="E95" s="9" t="s">
        <v>259</v>
      </c>
      <c r="F95" s="12" t="s">
        <v>61</v>
      </c>
      <c r="G95" s="9">
        <v>5</v>
      </c>
      <c r="H95" s="9">
        <v>5</v>
      </c>
      <c r="I95" s="9" t="s">
        <v>193</v>
      </c>
      <c r="J95" s="9">
        <v>77</v>
      </c>
      <c r="K95" s="9" t="s">
        <v>191</v>
      </c>
      <c r="L95" s="9" t="s">
        <v>191</v>
      </c>
      <c r="M95" s="9" t="s">
        <v>191</v>
      </c>
      <c r="N95" s="9">
        <v>77</v>
      </c>
      <c r="T95" s="15">
        <v>86</v>
      </c>
      <c r="U95" s="16" t="s">
        <v>246</v>
      </c>
      <c r="V95" s="21" t="s">
        <v>219</v>
      </c>
      <c r="W95">
        <f t="shared" si="1"/>
        <v>73</v>
      </c>
    </row>
    <row r="96" spans="4:23" ht="20" x14ac:dyDescent="0.25">
      <c r="D96" s="9"/>
      <c r="E96" s="9" t="s">
        <v>233</v>
      </c>
      <c r="F96" s="12" t="s">
        <v>178</v>
      </c>
      <c r="G96" s="9">
        <v>6</v>
      </c>
      <c r="H96" s="9">
        <v>6</v>
      </c>
      <c r="I96" s="9" t="s">
        <v>193</v>
      </c>
      <c r="J96" s="9">
        <v>78</v>
      </c>
      <c r="K96" s="9" t="s">
        <v>191</v>
      </c>
      <c r="L96" s="9" t="s">
        <v>191</v>
      </c>
      <c r="M96" s="9" t="s">
        <v>191</v>
      </c>
      <c r="N96" s="9">
        <v>78</v>
      </c>
      <c r="T96" s="15">
        <v>87</v>
      </c>
      <c r="U96" s="16" t="s">
        <v>247</v>
      </c>
      <c r="V96" s="21" t="s">
        <v>215</v>
      </c>
      <c r="W96">
        <f t="shared" si="1"/>
        <v>76</v>
      </c>
    </row>
    <row r="97" spans="4:23" ht="20" x14ac:dyDescent="0.25">
      <c r="D97" s="9"/>
      <c r="E97" s="9" t="s">
        <v>233</v>
      </c>
      <c r="F97" s="12" t="s">
        <v>171</v>
      </c>
      <c r="G97" s="9">
        <v>6</v>
      </c>
      <c r="H97" s="9">
        <v>6</v>
      </c>
      <c r="I97" s="9" t="s">
        <v>193</v>
      </c>
      <c r="J97" s="9">
        <v>78</v>
      </c>
      <c r="K97" s="9" t="s">
        <v>191</v>
      </c>
      <c r="L97" s="9" t="s">
        <v>191</v>
      </c>
      <c r="M97" s="9" t="s">
        <v>191</v>
      </c>
      <c r="N97" s="9">
        <v>78</v>
      </c>
      <c r="T97" s="15">
        <v>88</v>
      </c>
      <c r="U97" s="16" t="s">
        <v>217</v>
      </c>
      <c r="V97" s="21" t="s">
        <v>217</v>
      </c>
      <c r="W97">
        <f t="shared" si="1"/>
        <v>74</v>
      </c>
    </row>
    <row r="98" spans="4:23" ht="20" x14ac:dyDescent="0.25">
      <c r="D98" s="9"/>
      <c r="E98" s="9" t="s">
        <v>233</v>
      </c>
      <c r="F98" s="12" t="s">
        <v>94</v>
      </c>
      <c r="G98" s="9">
        <v>6</v>
      </c>
      <c r="H98" s="9">
        <v>6</v>
      </c>
      <c r="I98" s="9">
        <v>17</v>
      </c>
      <c r="J98" s="9">
        <v>78</v>
      </c>
      <c r="K98" s="9" t="s">
        <v>191</v>
      </c>
      <c r="L98" s="9" t="s">
        <v>191</v>
      </c>
      <c r="M98" s="9" t="s">
        <v>191</v>
      </c>
      <c r="N98" s="9">
        <v>74</v>
      </c>
      <c r="T98" s="15">
        <v>89</v>
      </c>
      <c r="U98" s="16" t="s">
        <v>248</v>
      </c>
      <c r="V98" s="21" t="s">
        <v>238</v>
      </c>
      <c r="W98">
        <f t="shared" si="1"/>
        <v>79</v>
      </c>
    </row>
    <row r="99" spans="4:23" ht="20" x14ac:dyDescent="0.25">
      <c r="D99" s="9"/>
      <c r="E99" s="9" t="s">
        <v>235</v>
      </c>
      <c r="F99" s="12" t="s">
        <v>237</v>
      </c>
      <c r="G99" s="9">
        <v>7</v>
      </c>
      <c r="H99" s="9">
        <v>7</v>
      </c>
      <c r="I99" s="9" t="s">
        <v>193</v>
      </c>
      <c r="J99" s="9">
        <v>79</v>
      </c>
      <c r="K99" s="9" t="s">
        <v>191</v>
      </c>
      <c r="L99" s="9" t="s">
        <v>191</v>
      </c>
      <c r="M99" s="9" t="s">
        <v>191</v>
      </c>
      <c r="N99" s="9">
        <v>79</v>
      </c>
      <c r="T99" s="15">
        <v>90</v>
      </c>
      <c r="U99" s="16" t="s">
        <v>200</v>
      </c>
      <c r="V99" s="21" t="s">
        <v>200</v>
      </c>
      <c r="W99">
        <f t="shared" si="1"/>
        <v>71</v>
      </c>
    </row>
    <row r="100" spans="4:23" ht="19" x14ac:dyDescent="0.25">
      <c r="D100" s="9"/>
      <c r="E100" s="9" t="s">
        <v>235</v>
      </c>
      <c r="F100" s="12" t="s">
        <v>238</v>
      </c>
      <c r="G100" s="9">
        <v>7</v>
      </c>
      <c r="H100" s="9">
        <v>7</v>
      </c>
      <c r="I100" s="9" t="s">
        <v>193</v>
      </c>
      <c r="J100" s="9">
        <v>79</v>
      </c>
      <c r="K100" s="9" t="s">
        <v>191</v>
      </c>
      <c r="L100" s="9" t="s">
        <v>191</v>
      </c>
      <c r="M100" s="9" t="s">
        <v>191</v>
      </c>
      <c r="N100" s="9">
        <v>79</v>
      </c>
      <c r="T100" s="15">
        <v>91</v>
      </c>
      <c r="U100" s="17" t="s">
        <v>221</v>
      </c>
      <c r="V100" s="22" t="s">
        <v>221</v>
      </c>
      <c r="W100">
        <f t="shared" si="1"/>
        <v>75</v>
      </c>
    </row>
    <row r="101" spans="4:23" ht="19" x14ac:dyDescent="0.25">
      <c r="D101" s="9"/>
      <c r="E101" s="9" t="s">
        <v>235</v>
      </c>
      <c r="F101" s="12" t="s">
        <v>236</v>
      </c>
      <c r="G101" s="9">
        <v>7</v>
      </c>
      <c r="H101" s="9">
        <v>7</v>
      </c>
      <c r="I101" s="9" t="s">
        <v>193</v>
      </c>
      <c r="J101" s="9">
        <v>79</v>
      </c>
      <c r="K101" s="9" t="s">
        <v>191</v>
      </c>
      <c r="L101" s="9" t="s">
        <v>191</v>
      </c>
      <c r="M101" s="9" t="s">
        <v>191</v>
      </c>
      <c r="N101" s="9">
        <v>79</v>
      </c>
      <c r="T101" s="15">
        <v>92</v>
      </c>
      <c r="U101" s="17" t="s">
        <v>237</v>
      </c>
      <c r="V101" s="22" t="s">
        <v>237</v>
      </c>
      <c r="W101">
        <f t="shared" si="1"/>
        <v>79</v>
      </c>
    </row>
    <row r="102" spans="4:23" ht="19" x14ac:dyDescent="0.25">
      <c r="D102" s="9"/>
      <c r="E102" s="9" t="s">
        <v>235</v>
      </c>
      <c r="F102" s="12" t="s">
        <v>239</v>
      </c>
      <c r="G102" s="9">
        <v>7</v>
      </c>
      <c r="H102" s="9">
        <v>7</v>
      </c>
      <c r="I102" s="9" t="s">
        <v>193</v>
      </c>
      <c r="J102" s="9">
        <v>79</v>
      </c>
      <c r="K102" s="9" t="s">
        <v>191</v>
      </c>
      <c r="L102" s="9" t="s">
        <v>191</v>
      </c>
      <c r="M102" s="9" t="s">
        <v>191</v>
      </c>
      <c r="N102" s="9">
        <v>79</v>
      </c>
      <c r="T102" s="15">
        <v>93</v>
      </c>
      <c r="U102" s="17" t="s">
        <v>249</v>
      </c>
      <c r="V102" s="22" t="s">
        <v>231</v>
      </c>
      <c r="W102">
        <f t="shared" si="1"/>
        <v>77</v>
      </c>
    </row>
    <row r="103" spans="4:23" ht="19" x14ac:dyDescent="0.25">
      <c r="D103" s="9"/>
      <c r="E103" s="9" t="s">
        <v>235</v>
      </c>
      <c r="F103" s="12" t="s">
        <v>41</v>
      </c>
      <c r="G103" s="9">
        <v>7</v>
      </c>
      <c r="H103" s="9">
        <v>7</v>
      </c>
      <c r="I103" s="9" t="s">
        <v>193</v>
      </c>
      <c r="J103" s="9">
        <v>79</v>
      </c>
      <c r="K103" s="9" t="s">
        <v>191</v>
      </c>
      <c r="L103" s="9" t="s">
        <v>191</v>
      </c>
      <c r="M103" s="9" t="s">
        <v>191</v>
      </c>
      <c r="N103" s="9">
        <v>79</v>
      </c>
      <c r="T103" s="15">
        <v>94</v>
      </c>
      <c r="U103" s="17" t="s">
        <v>250</v>
      </c>
      <c r="V103" s="22" t="s">
        <v>229</v>
      </c>
      <c r="W103">
        <f t="shared" si="1"/>
        <v>76</v>
      </c>
    </row>
    <row r="104" spans="4:23" ht="19" x14ac:dyDescent="0.25">
      <c r="D104" s="9"/>
      <c r="E104" s="9">
        <v>95</v>
      </c>
      <c r="F104" s="12" t="s">
        <v>76</v>
      </c>
      <c r="G104" s="9">
        <v>18</v>
      </c>
      <c r="H104" s="9">
        <v>18</v>
      </c>
      <c r="I104" s="9" t="s">
        <v>193</v>
      </c>
      <c r="J104" s="9">
        <v>90</v>
      </c>
      <c r="K104" s="9" t="s">
        <v>191</v>
      </c>
      <c r="L104" s="9" t="s">
        <v>191</v>
      </c>
      <c r="M104" s="9" t="s">
        <v>191</v>
      </c>
      <c r="N104" s="9">
        <v>90</v>
      </c>
      <c r="T104" s="15">
        <v>95</v>
      </c>
      <c r="U104" s="17" t="s">
        <v>180</v>
      </c>
      <c r="V104" s="22" t="s">
        <v>180</v>
      </c>
      <c r="W104">
        <f t="shared" si="1"/>
        <v>72</v>
      </c>
    </row>
    <row r="105" spans="4:23" ht="19" x14ac:dyDescent="0.25">
      <c r="T105" s="15">
        <v>0</v>
      </c>
      <c r="U105" s="17" t="s">
        <v>26</v>
      </c>
      <c r="V105" s="22" t="s">
        <v>26</v>
      </c>
      <c r="W105">
        <f>+MAX(W10:W104)+1</f>
        <v>91</v>
      </c>
    </row>
  </sheetData>
  <hyperlinks>
    <hyperlink ref="F10" r:id="rId1" display="https://www.espn.com/golf/player/_/id/569/justin-rose" xr:uid="{13352CC5-E3E9-9249-92B3-ED68DCD6A840}"/>
    <hyperlink ref="F11" r:id="rId2" display="https://www.espn.com/golf/player/_/id/9126/corey-conners" xr:uid="{8025024B-3A35-F743-AECA-8083628A56A5}"/>
    <hyperlink ref="F12" r:id="rId3" display="https://www.espn.com/golf/player/_/id/9478/scottie-scheffler" xr:uid="{B3FBDD8A-D0B9-8245-90E9-B978032720D9}"/>
    <hyperlink ref="F13" r:id="rId4" display="https://www.espn.com/golf/player/_/id/4375972/ludvig-aberg" xr:uid="{A6494D14-D329-094D-B2BB-50256D38D07B}"/>
    <hyperlink ref="F14" r:id="rId5" display="https://www.espn.com/golf/player/_/id/5553/tyrrell-hatton" xr:uid="{EE5DEDF1-E876-6B41-9989-36DE38A8490E}"/>
    <hyperlink ref="F15" r:id="rId6" display="https://www.espn.com/golf/player/_/id/10046/bryson-dechambeau" xr:uid="{4292CC1B-EB20-8A4B-8768-11B387A50480}"/>
    <hyperlink ref="F16" r:id="rId7" display="https://www.espn.com/golf/player/_/id/10906/aaron-rai" xr:uid="{D115E9CA-BD2C-274D-91A5-36067AC065F1}"/>
    <hyperlink ref="F17" r:id="rId8" display="https://www.espn.com/golf/player/_/id/5408/harris-english" xr:uid="{31426975-17B1-3747-BCE8-5D0BE30C1F72}"/>
    <hyperlink ref="F18" r:id="rId9" display="https://www.espn.com/golf/player/_/id/1680/jason-day" xr:uid="{1BB9D25F-F2B6-144C-A6D4-7BAABFB5AD53}"/>
    <hyperlink ref="F19" r:id="rId10" display="https://www.espn.com/golf/player/_/id/4419142/akshay-bhatia" xr:uid="{E42B6030-E8A7-BB4A-8D47-064C3EE426DD}"/>
    <hyperlink ref="F20" r:id="rId11" display="https://www.espn.com/golf/player/_/id/8974/michael-kim" xr:uid="{4A26A2E6-AE67-9344-AD9A-DEC28AC1E7AA}"/>
    <hyperlink ref="F21" r:id="rId12" display="https://www.espn.com/golf/player/_/id/4602218/davis-thompson" xr:uid="{BDAA1A0B-BDCE-CE47-9F1C-E61FEE35458F}"/>
    <hyperlink ref="F22" r:id="rId13" display="https://www.espn.com/golf/player/_/id/9131/cameron-smith" xr:uid="{D35BFE07-298B-A042-AAFF-FD0B75C6874F}"/>
    <hyperlink ref="F23" r:id="rId14" display="https://www.espn.com/golf/player/_/id/91/fred-couples" xr:uid="{D83CB2D4-F718-2041-A5CF-16B93EF5FF14}"/>
    <hyperlink ref="F24" r:id="rId15" display="https://www.espn.com/golf/player/_/id/1225/brian-harman" xr:uid="{F650E26A-3CCD-9F43-BB6C-AD61BC8B1176}"/>
    <hyperlink ref="F25" r:id="rId16" display="https://www.espn.com/golf/player/_/id/5579/patrick-reed" xr:uid="{E17FA96C-3EC8-EE43-961C-81CA33CCD0BF}"/>
    <hyperlink ref="F26" r:id="rId17" display="https://www.espn.com/golf/player/_/id/11101/max-greyserman" xr:uid="{03EABD84-A1BB-FC4D-91DD-9BB00B68DA45}"/>
    <hyperlink ref="F27" r:id="rId18" display="https://www.espn.com/golf/player/_/id/4410932/min-woo-lee" xr:uid="{44AE2E44-67E2-014D-8F51-D9F8286911E6}"/>
    <hyperlink ref="F28" r:id="rId19" display="https://www.espn.com/golf/player/_/id/780/bubba-watson" xr:uid="{AC101AAE-9B40-3A4F-A06D-FE0F33224BBC}"/>
    <hyperlink ref="F29" r:id="rId20" display="https://www.espn.com/golf/player/_/id/4901368/matt-mccarty" xr:uid="{B911F1A0-85FD-6648-A1E3-BF7CDCD5BC13}"/>
    <hyperlink ref="F30" r:id="rId21" display="https://www.espn.com/golf/player/_/id/10054/denny-mccarthy" xr:uid="{D3CF7066-D930-B040-B7A5-54C6F71890F2}"/>
    <hyperlink ref="F31" r:id="rId22" display="https://www.espn.com/golf/player/_/id/9025/daniel-berger" xr:uid="{27949FBD-2E69-7246-939B-470D952EB72D}"/>
    <hyperlink ref="F32" r:id="rId23" display="https://www.espn.com/golf/player/_/id/9037/matt-fitzpatrick" xr:uid="{625B9465-10F1-F343-A2EC-C127AA5DD3AA}"/>
    <hyperlink ref="F33" r:id="rId24" display="https://www.espn.com/golf/player/_/id/11382/sungjae-im" xr:uid="{5548D3F0-955F-8D42-AD30-DB81D624452E}"/>
    <hyperlink ref="F34" r:id="rId25" display="https://www.espn.com/golf/player/_/id/4364873/viktor-hovland" xr:uid="{FB8C8C0F-1EFB-2342-8C22-1676942C9340}"/>
    <hyperlink ref="F35" r:id="rId26" display="https://www.espn.com/golf/player/_/id/4587/shane-lowry" xr:uid="{CBCB31DD-C856-4B4A-9785-6BFFC892EF05}"/>
    <hyperlink ref="F36" r:id="rId27" display="https://www.espn.com/golf/player/_/id/4425906/cameron-young" xr:uid="{3F1C9236-5C17-C345-89C9-D76D5D578606}"/>
    <hyperlink ref="F37" r:id="rId28" display="https://www.espn.com/golf/player/_/id/686/zach-johnson" xr:uid="{D889A25B-129B-8445-A004-45418CC77F2E}"/>
    <hyperlink ref="F38" r:id="rId29" display="https://www.espn.com/golf/player/_/id/6937/stephan-jaeger" xr:uid="{498972C3-CF8A-B54C-B790-74224607BE27}"/>
    <hyperlink ref="F39" r:id="rId30" display="https://www.espn.com/golf/player/_/id/10592/collin-morikawa" xr:uid="{47F52C5D-3B1D-9B40-B95A-E4DAB6EF8C73}"/>
    <hyperlink ref="F40" r:id="rId31" display="https://www.espn.com/golf/player/_/id/11099/joaquin-niemann" xr:uid="{F33BDF74-0393-1244-B462-777A97BF4DEF}"/>
    <hyperlink ref="F41" r:id="rId32" display="https://www.espn.com/golf/player/_/id/9530/maverick-mcnealy" xr:uid="{866F83DF-EBE1-7443-89A3-C043D0934C59}"/>
    <hyperlink ref="F42" r:id="rId33" display="https://www.espn.com/golf/player/_/id/9525/brian-campbell" xr:uid="{4FCDC41C-3CE1-0449-82C5-78D5FD3118C4}"/>
    <hyperlink ref="F43" r:id="rId34" display="https://www.espn.com/golf/player/_/id/6086/tom-hoge" xr:uid="{902CB90C-894E-B040-B8A8-C56315D196B0}"/>
    <hyperlink ref="F44" r:id="rId35" display="https://www.espn.com/golf/player/_/id/158/sergio-garcia" xr:uid="{2528E580-AD4A-AF4B-8ED8-3D8215458C59}"/>
    <hyperlink ref="F45" r:id="rId36" display="https://www.espn.com/golf/player/_/id/3470/rory-mcilroy" xr:uid="{BE03CB4D-C195-5C40-95DB-BC12B3237F84}"/>
    <hyperlink ref="F46" r:id="rId37" display="https://www.espn.com/golf/player/_/id/10980/sahith-theegala" xr:uid="{057013E3-661D-684D-A106-6194C1E23D34}"/>
    <hyperlink ref="F47" r:id="rId38" display="https://www.espn.com/golf/player/_/id/10058/davis-riley" xr:uid="{DC6D99AA-4FC8-E441-AFAC-7F636EE58DFF}"/>
    <hyperlink ref="F48" r:id="rId39" display="https://www.espn.com/golf/player/_/id/4408316/nicolas-echavarria" xr:uid="{4AF1C13B-EB63-CF44-B2E3-EC6CBB9C42F4}"/>
    <hyperlink ref="F49" r:id="rId40" display="https://www.espn.com/golf/player/_/id/4848/justin-thomas" xr:uid="{52475119-E0DD-7C4D-90E6-2FC6946C8E47}"/>
    <hyperlink ref="F50" r:id="rId41" display="https://www.espn.com/golf/player/_/id/5467/jordan-spieth" xr:uid="{34896806-DC85-DF49-9101-E6D34832CFE6}"/>
    <hyperlink ref="F51" r:id="rId42" display="https://www.espn.com/golf/player/_/id/4602673/tom-kim" xr:uid="{CD057462-9EFA-C84F-8422-6B3C05C85BDE}"/>
    <hyperlink ref="F52" r:id="rId43" display="https://www.espn.com/golf/player/_/id/10372/adam-schenk" xr:uid="{D3E887D5-EC5E-2847-B281-7510BDAECA44}"/>
    <hyperlink ref="F53" r:id="rId44" display="https://www.espn.com/golf/player/_/id/5214992/hiroshi-tai" xr:uid="{08D56A95-3688-F44E-8FA3-519F14EA7AE0}"/>
    <hyperlink ref="F54" r:id="rId45" display="https://www.espn.com/golf/player/_/id/3792/nick-taylor" xr:uid="{ECF8795A-521F-AA44-BC09-3BCFDA52974A}"/>
    <hyperlink ref="F55" r:id="rId46" display="https://www.espn.com/golf/player/_/id/11253/rasmus-h%C3%B8jgaard" xr:uid="{AE24B743-E66C-2B46-802F-AD2D778CA4B7}"/>
    <hyperlink ref="F56" r:id="rId47" display="https://www.espn.com/golf/player/_/id/10140/xander-schauffele" xr:uid="{1FEA8F95-0C89-7E47-98A5-699574852E52}"/>
    <hyperlink ref="F57" r:id="rId48" display="https://www.espn.com/golf/player/_/id/5860/hideki-matsuyama" xr:uid="{832DDFDF-C21F-0F4F-BFD9-EF3D769AD1AB}"/>
    <hyperlink ref="F58" r:id="rId49" display="https://www.espn.com/golf/player/_/id/5539/tommy-fleetwood" xr:uid="{49696DC9-6AEF-A244-A483-CEF203C52003}"/>
    <hyperlink ref="F59" r:id="rId50" display="https://www.espn.com/golf/player/_/id/9938/sam-burns" xr:uid="{A40D8BF6-6F47-7040-BD3A-CA303E7B3AE4}"/>
    <hyperlink ref="F60" r:id="rId51" display="https://www.espn.com/golf/player/_/id/261/bernhard-langer" xr:uid="{0BE5A5E0-825A-7C4A-89BC-DBB28BDE2646}"/>
    <hyperlink ref="F61" r:id="rId52" display="https://www.espn.com/golf/player/_/id/9877/will-zalatoris" xr:uid="{70906ED8-F1CF-3246-A3DD-2B341F73BA0F}"/>
    <hyperlink ref="F62" r:id="rId53" display="https://www.espn.com/golf/player/_/id/10505/jt-poston" xr:uid="{E26B3396-6893-9D4D-81C6-90427FAEB9B7}"/>
    <hyperlink ref="F63" r:id="rId54" display="https://www.espn.com/golf/player/_/id/5285/byeong-hun-an" xr:uid="{57B1C3FB-7E1D-D349-A847-04267F393D92}"/>
    <hyperlink ref="F64" r:id="rId55" display="https://www.espn.com/golf/player/_/id/4513/keegan-bradley" xr:uid="{81E6BA9E-DC17-7943-AB38-96BBAB6D2221}"/>
    <hyperlink ref="F65" r:id="rId56" display="https://www.espn.com/golf/player/_/id/10863/cam-davis" xr:uid="{4C948404-AD03-1340-BD9C-BFBA6452ED77}"/>
    <hyperlink ref="F66" r:id="rId57" display="https://www.espn.com/golf/player/_/id/1097/charl-schwartzel" xr:uid="{5761635B-A843-0940-9E72-9B87446D0884}"/>
    <hyperlink ref="F67" r:id="rId58" display="https://www.espn.com/golf/player/_/id/8973/max-homa" xr:uid="{511C3412-C90A-9248-8FF5-F231DC3CF7CE}"/>
    <hyperlink ref="F68" r:id="rId59" display="https://www.espn.com/golf/player/_/id/10166/jj-spaun" xr:uid="{96DB492C-13A8-7E4B-AD56-2BF8E67C05AC}"/>
    <hyperlink ref="F69" r:id="rId60" display="https://www.espn.com/golf/player/_/id/3448/dustin-johnson" xr:uid="{C92118E0-EC1E-8744-B929-AB902B6D1DE9}"/>
    <hyperlink ref="F70" r:id="rId61" display="https://www.espn.com/golf/player/_/id/6007/patrick-cantlay" xr:uid="{BF4516BE-58C2-1E46-9781-27886E1FEDD8}"/>
    <hyperlink ref="F71" r:id="rId62" display="https://www.espn.com/golf/player/_/id/6798/brooks-koepka" xr:uid="{3011BA02-AA7C-154B-AD37-F72553398CF5}"/>
    <hyperlink ref="F72" r:id="rId63" display="https://www.espn.com/golf/player/_/id/1030/jhonattan-vegas" xr:uid="{3D2BCD5C-7B5C-F749-A027-CE443C7B956A}"/>
    <hyperlink ref="F73" r:id="rId64" display="https://www.espn.com/golf/player/_/id/453/mike-weir" xr:uid="{720854AF-DC71-4D42-92C1-4105037F5C32}"/>
    <hyperlink ref="F74" r:id="rId65" display="https://www.espn.com/golf/player/_/id/3449/chris-kirk" xr:uid="{4C1A0070-EA76-8042-9FB0-A54E56DC0321}"/>
    <hyperlink ref="F75" r:id="rId66" display="https://www.espn.com/golf/player/_/id/4304/danny-willett" xr:uid="{24DB235F-1765-F44C-BA79-AB945DA27FC1}"/>
    <hyperlink ref="F76" r:id="rId67" display="https://www.espn.com/golf/player/_/id/11378/robert-macintyre" xr:uid="{D7079EAA-5721-BD4C-AC20-6EADC36F913C}"/>
    <hyperlink ref="F77" r:id="rId68" display="https://www.espn.com/golf/player/_/id/308/phil-mickelson" xr:uid="{C13AC4B8-18B7-3F4C-9C3A-7670D0331058}"/>
    <hyperlink ref="F78" r:id="rId69" display="https://www.espn.com/golf/player/_/id/2230/tony-finau" xr:uid="{A0E407D3-3B6C-6045-B7EF-D5164C359B6E}"/>
    <hyperlink ref="F79" r:id="rId70" display="https://www.espn.com/golf/player/_/id/3683/rafael-campos" xr:uid="{4B059F7C-3DFA-2343-BC6B-E059788D3A93}"/>
    <hyperlink ref="F80" r:id="rId71" display="https://www.espn.com/golf/player/_/id/65/angel-cabrera" xr:uid="{5E25B378-3581-034F-A679-B674EE4D18AA}"/>
    <hyperlink ref="F81" r:id="rId72" display="https://www.espn.com/golf/player/_/id/9780/jon-rahm" xr:uid="{7B74FF75-12E8-6C4A-A478-DF316F84BAE1}"/>
    <hyperlink ref="F82" r:id="rId73" display="https://www.espn.com/golf/player/_/id/11250/nicolai-h%C3%B8jgaard" xr:uid="{AC6A512F-7DFA-AE4F-9148-84D30CE21D1A}"/>
    <hyperlink ref="F83" r:id="rId74" display="https://www.espn.com/golf/player/_/id/4349547/kevin-yu" xr:uid="{07375806-C0F4-A646-A2B4-EEAC2276C71E}"/>
    <hyperlink ref="F84" r:id="rId75" display="https://www.espn.com/golf/player/_/id/4868733/joe-highsmith" xr:uid="{3891EA05-483A-7149-A0EC-B5E0FC9650C6}"/>
    <hyperlink ref="F85" r:id="rId76" display="https://www.espn.com/golf/player/_/id/5152205/jose-luis-ballester" xr:uid="{6E4BBE1D-CD4D-DC41-9407-92D47043A294}"/>
    <hyperlink ref="F86" r:id="rId77" display="https://www.espn.com/golf/player/_/id/4425898/austin-eckroat" xr:uid="{BE4C33B6-E085-024F-B89E-4D94DA1A7212}"/>
    <hyperlink ref="F87" r:id="rId78" display="https://www.espn.com/golf/player/_/id/9243/christiaan-bezuidenhout" xr:uid="{CFA36517-B380-8641-AA82-21E852365AC6}"/>
    <hyperlink ref="F88" r:id="rId79" display="https://www.espn.com/golf/player/_/id/5203536/justin-hastings" xr:uid="{A17E499D-F38F-9741-A196-B8DE07ED8146}"/>
    <hyperlink ref="F89" r:id="rId80" display="https://www.espn.com/golf/player/_/id/11119/wyndham-clark" xr:uid="{9CAD4445-D43E-1246-A923-0B619247819C}"/>
    <hyperlink ref="F90" r:id="rId81" display="https://www.espn.com/golf/player/_/id/9658/taylor-pendrith" xr:uid="{27EE9375-C513-CC4B-BCD8-DAC999D295E1}"/>
    <hyperlink ref="F91" r:id="rId82" display="https://www.espn.com/golf/player/_/id/1651/billy-horschel" xr:uid="{8721A8F8-8EE8-0A4D-8A27-B81E2EEDFB05}"/>
    <hyperlink ref="F92" r:id="rId83" display="https://www.espn.com/golf/player/_/id/5550/laurie-canter" xr:uid="{7EDD515D-A830-314B-AE85-46A11D2B16E0}"/>
    <hyperlink ref="F93" r:id="rId84" display="https://www.espn.com/golf/player/_/id/329/jose-maria-olazabal" xr:uid="{CB23BC3B-4B35-1C43-AA79-933B6EBB0543}"/>
    <hyperlink ref="F94" r:id="rId85" display="https://www.espn.com/golf/player/_/id/10559/evan-beck" xr:uid="{B5887532-154A-E948-9FEB-564E7CC0247F}"/>
    <hyperlink ref="F95" r:id="rId86" display="https://www.espn.com/golf/player/_/id/388/adam-scott" xr:uid="{775E870C-D872-8D4B-806C-BC091DAD2E13}"/>
    <hyperlink ref="F96" r:id="rId87" display="https://www.espn.com/golf/player/_/id/10596/matthieu-pavon" xr:uid="{448FA08E-9F15-0148-AD53-019E7239CF9B}"/>
    <hyperlink ref="F97" r:id="rId88" display="https://www.espn.com/golf/player/_/id/676/lucas-glover" xr:uid="{362B9B8B-7634-BD41-844F-2D18672C19E1}"/>
    <hyperlink ref="F98" r:id="rId89" display="https://www.espn.com/golf/player/_/id/8961/sepp-straka" xr:uid="{A1B70C72-8705-4B45-B2A5-8B649590B8CC}"/>
    <hyperlink ref="F99" r:id="rId90" display="https://www.espn.com/golf/player/_/id/3980/patton-kizzire" xr:uid="{D1A44BF8-6D61-7E41-AE21-29A59E682353}"/>
    <hyperlink ref="F100" r:id="rId91" display="https://www.espn.com/golf/player/_/id/5276688/noah-kent" xr:uid="{BE6E5626-7A5D-F444-A7E1-4580C1BE676E}"/>
    <hyperlink ref="F101" r:id="rId92" display="https://www.espn.com/golf/player/_/id/4837/thomas-detry" xr:uid="{52BDD3C9-A09B-B04D-93D8-5B6A874B67F3}"/>
    <hyperlink ref="F102" r:id="rId93" display="https://www.espn.com/golf/player/_/id/9240/thriston-lawrence" xr:uid="{906185E5-EF69-C640-9196-168E1CC48252}"/>
    <hyperlink ref="F103" r:id="rId94" display="https://www.espn.com/golf/player/_/id/5409/russell-henley" xr:uid="{1A09736B-7CF0-D14E-9775-65BDCD4BF947}"/>
    <hyperlink ref="F104" r:id="rId95" display="https://www.espn.com/golf/player/_/id/4832046/nick-dunlap" xr:uid="{B3C8F018-BB76-504A-989E-B01C54FC0232}"/>
  </hyperlinks>
  <pageMargins left="0.7" right="0.7" top="0.75" bottom="0.75" header="0.3" footer="0.3"/>
  <drawing r:id="rId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 Scores</vt:lpstr>
      <vt:lpstr>Rosters (FINAL)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Schreiber, Jonathan</dc:creator>
  <cp:lastModifiedBy>Rob Schoen</cp:lastModifiedBy>
  <dcterms:created xsi:type="dcterms:W3CDTF">2024-04-11T02:27:49Z</dcterms:created>
  <dcterms:modified xsi:type="dcterms:W3CDTF">2026-04-03T23:55:43Z</dcterms:modified>
</cp:coreProperties>
</file>